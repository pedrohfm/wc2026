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edrohfm/Downloads/world-cup-2026/"/>
    </mc:Choice>
  </mc:AlternateContent>
  <xr:revisionPtr revIDLastSave="0" documentId="13_ncr:1_{BEEAA232-D53B-7845-92C7-BF832F0846B9}" xr6:coauthVersionLast="47" xr6:coauthVersionMax="47" xr10:uidLastSave="{00000000-0000-0000-0000-000000000000}"/>
  <bookViews>
    <workbookView xWindow="0" yWindow="760" windowWidth="38400" windowHeight="24100" tabRatio="500" activeTab="5" xr2:uid="{00000000-000D-0000-FFFF-FFFF00000000}"/>
  </bookViews>
  <sheets>
    <sheet name="Groups" sheetId="1" r:id="rId1"/>
    <sheet name="Group Matches" sheetId="2" r:id="rId2"/>
    <sheet name="ENG_Long" sheetId="3" state="hidden" r:id="rId3"/>
    <sheet name="Standings" sheetId="4" r:id="rId4"/>
    <sheet name="3rd Place + Alloc" sheetId="5" r:id="rId5"/>
    <sheet name="Knockout Bracket" sheetId="6" r:id="rId6"/>
    <sheet name="Dashboard" sheetId="7" r:id="rId7"/>
    <sheet name="Notes &amp; 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7" l="1"/>
  <c r="B3" i="7"/>
  <c r="T34" i="6"/>
  <c r="S34" i="6"/>
  <c r="B18" i="7" s="1"/>
  <c r="T33" i="6"/>
  <c r="S33" i="6"/>
  <c r="T32" i="6"/>
  <c r="O33" i="6" s="1"/>
  <c r="S32" i="6"/>
  <c r="O34" i="6" s="1"/>
  <c r="T31" i="6"/>
  <c r="N33" i="6" s="1"/>
  <c r="S31" i="6"/>
  <c r="N34" i="6" s="1"/>
  <c r="T30" i="6"/>
  <c r="S30" i="6"/>
  <c r="O32" i="6" s="1"/>
  <c r="L30" i="6"/>
  <c r="T29" i="6"/>
  <c r="S29" i="6"/>
  <c r="K29" i="6"/>
  <c r="F32" i="6" s="1"/>
  <c r="K32" i="6" s="1"/>
  <c r="G34" i="6" s="1"/>
  <c r="K34" i="6" s="1"/>
  <c r="B17" i="7" s="1"/>
  <c r="T28" i="6"/>
  <c r="S28" i="6"/>
  <c r="O31" i="6" s="1"/>
  <c r="L28" i="6"/>
  <c r="T27" i="6"/>
  <c r="S27" i="6"/>
  <c r="L27" i="6"/>
  <c r="T26" i="6"/>
  <c r="S26" i="6"/>
  <c r="O30" i="6" s="1"/>
  <c r="T25" i="6"/>
  <c r="S25" i="6"/>
  <c r="N30" i="6" s="1"/>
  <c r="L25" i="6"/>
  <c r="T24" i="6"/>
  <c r="S24" i="6"/>
  <c r="O28" i="6" s="1"/>
  <c r="T23" i="6"/>
  <c r="S23" i="6"/>
  <c r="N28" i="6" s="1"/>
  <c r="L23" i="6"/>
  <c r="K23" i="6"/>
  <c r="T22" i="6"/>
  <c r="S22" i="6"/>
  <c r="O29" i="6" s="1"/>
  <c r="T21" i="6"/>
  <c r="S21" i="6"/>
  <c r="L21" i="6"/>
  <c r="K21" i="6"/>
  <c r="F29" i="6" s="1"/>
  <c r="T20" i="6"/>
  <c r="S20" i="6"/>
  <c r="O27" i="6" s="1"/>
  <c r="L20" i="6"/>
  <c r="K20" i="6"/>
  <c r="T19" i="6"/>
  <c r="S19" i="6"/>
  <c r="N27" i="6" s="1"/>
  <c r="T18" i="6"/>
  <c r="S18" i="6"/>
  <c r="O25" i="6" s="1"/>
  <c r="L18" i="6"/>
  <c r="K18" i="6"/>
  <c r="G25" i="6" s="1"/>
  <c r="T17" i="6"/>
  <c r="S17" i="6"/>
  <c r="O26" i="6" s="1"/>
  <c r="K17" i="6"/>
  <c r="G26" i="6" s="1"/>
  <c r="K26" i="6" s="1"/>
  <c r="G30" i="6" s="1"/>
  <c r="K30" i="6" s="1"/>
  <c r="T16" i="6"/>
  <c r="S16" i="6"/>
  <c r="N25" i="6" s="1"/>
  <c r="L16" i="6"/>
  <c r="K16" i="6"/>
  <c r="F25" i="6" s="1"/>
  <c r="K25" i="6" s="1"/>
  <c r="F30" i="6" s="1"/>
  <c r="T15" i="6"/>
  <c r="S15" i="6"/>
  <c r="N26" i="6" s="1"/>
  <c r="L15" i="6"/>
  <c r="T14" i="6"/>
  <c r="S14" i="6"/>
  <c r="L14" i="6"/>
  <c r="K14" i="6"/>
  <c r="G23" i="6" s="1"/>
  <c r="T13" i="6"/>
  <c r="S13" i="6"/>
  <c r="L13" i="6"/>
  <c r="K13" i="6"/>
  <c r="F23" i="6" s="1"/>
  <c r="T12" i="6"/>
  <c r="S12" i="6"/>
  <c r="O24" i="6" s="1"/>
  <c r="L12" i="6"/>
  <c r="T11" i="6"/>
  <c r="S11" i="6"/>
  <c r="N24" i="6" s="1"/>
  <c r="K11" i="6"/>
  <c r="F24" i="6" s="1"/>
  <c r="K24" i="6" s="1"/>
  <c r="G28" i="6" s="1"/>
  <c r="K28" i="6" s="1"/>
  <c r="G31" i="6" s="1"/>
  <c r="L31" i="6" s="1"/>
  <c r="F33" i="6" s="1"/>
  <c r="L33" i="6" s="1"/>
  <c r="T10" i="6"/>
  <c r="S10" i="6"/>
  <c r="O22" i="6" s="1"/>
  <c r="K10" i="6"/>
  <c r="G22" i="6" s="1"/>
  <c r="K22" i="6" s="1"/>
  <c r="G29" i="6" s="1"/>
  <c r="L29" i="6" s="1"/>
  <c r="T9" i="6"/>
  <c r="S9" i="6"/>
  <c r="N22" i="6" s="1"/>
  <c r="K9" i="6"/>
  <c r="F22" i="6" s="1"/>
  <c r="L22" i="6" s="1"/>
  <c r="T8" i="6"/>
  <c r="S8" i="6"/>
  <c r="O21" i="6" s="1"/>
  <c r="L8" i="6"/>
  <c r="K8" i="6"/>
  <c r="G21" i="6" s="1"/>
  <c r="T7" i="6"/>
  <c r="S7" i="6"/>
  <c r="O19" i="6" s="1"/>
  <c r="K7" i="6"/>
  <c r="T6" i="6"/>
  <c r="S6" i="6"/>
  <c r="L6" i="6"/>
  <c r="K6" i="6"/>
  <c r="F21" i="6" s="1"/>
  <c r="T5" i="6"/>
  <c r="S5" i="6"/>
  <c r="O20" i="6" s="1"/>
  <c r="L5" i="6"/>
  <c r="K5" i="6"/>
  <c r="G20" i="6" s="1"/>
  <c r="T4" i="6"/>
  <c r="S4" i="6"/>
  <c r="N19" i="6" s="1"/>
  <c r="K4" i="6"/>
  <c r="F19" i="6" s="1"/>
  <c r="L19" i="6" s="1"/>
  <c r="T3" i="6"/>
  <c r="S3" i="6"/>
  <c r="N20" i="6" s="1"/>
  <c r="L3" i="6"/>
  <c r="K3" i="6"/>
  <c r="F20" i="6" s="1"/>
  <c r="H25" i="5"/>
  <c r="G25" i="5"/>
  <c r="O17" i="6" s="1"/>
  <c r="E25" i="5"/>
  <c r="D25" i="5"/>
  <c r="G17" i="6" s="1"/>
  <c r="L17" i="6" s="1"/>
  <c r="H24" i="5"/>
  <c r="G24" i="5"/>
  <c r="O15" i="6" s="1"/>
  <c r="E24" i="5"/>
  <c r="D24" i="5"/>
  <c r="G15" i="6" s="1"/>
  <c r="K15" i="6" s="1"/>
  <c r="H23" i="5"/>
  <c r="G23" i="5"/>
  <c r="O12" i="6" s="1"/>
  <c r="E23" i="5"/>
  <c r="D23" i="5"/>
  <c r="G12" i="6" s="1"/>
  <c r="K12" i="6" s="1"/>
  <c r="G24" i="6" s="1"/>
  <c r="L24" i="6" s="1"/>
  <c r="H22" i="5"/>
  <c r="G22" i="5"/>
  <c r="O11" i="6" s="1"/>
  <c r="E22" i="5"/>
  <c r="D22" i="5"/>
  <c r="G11" i="6" s="1"/>
  <c r="L11" i="6" s="1"/>
  <c r="H21" i="5"/>
  <c r="G21" i="5"/>
  <c r="O10" i="6" s="1"/>
  <c r="E21" i="5"/>
  <c r="D21" i="5"/>
  <c r="G10" i="6" s="1"/>
  <c r="L10" i="6" s="1"/>
  <c r="H20" i="5"/>
  <c r="G20" i="5"/>
  <c r="O9" i="6" s="1"/>
  <c r="E20" i="5"/>
  <c r="D20" i="5"/>
  <c r="G9" i="6" s="1"/>
  <c r="L9" i="6" s="1"/>
  <c r="H19" i="5"/>
  <c r="G19" i="5"/>
  <c r="O7" i="6" s="1"/>
  <c r="E19" i="5"/>
  <c r="D19" i="5"/>
  <c r="G7" i="6" s="1"/>
  <c r="L7" i="6" s="1"/>
  <c r="H18" i="5"/>
  <c r="G18" i="5"/>
  <c r="O4" i="6" s="1"/>
  <c r="E18" i="5"/>
  <c r="D18" i="5"/>
  <c r="G4" i="6" s="1"/>
  <c r="L4" i="6" s="1"/>
  <c r="P44" i="4"/>
  <c r="U17" i="4"/>
  <c r="Q145" i="3"/>
  <c r="P145" i="3"/>
  <c r="O145" i="3"/>
  <c r="N145" i="3"/>
  <c r="M145" i="3"/>
  <c r="L145" i="3"/>
  <c r="K145" i="3"/>
  <c r="I145" i="3"/>
  <c r="F145" i="3"/>
  <c r="G145" i="3" s="1"/>
  <c r="E145" i="3"/>
  <c r="D145" i="3"/>
  <c r="H145" i="3" s="1"/>
  <c r="C145" i="3"/>
  <c r="B145" i="3"/>
  <c r="Q144" i="3"/>
  <c r="P144" i="3"/>
  <c r="O144" i="3"/>
  <c r="N144" i="3"/>
  <c r="M144" i="3"/>
  <c r="L144" i="3"/>
  <c r="K144" i="3"/>
  <c r="H144" i="3"/>
  <c r="F144" i="3"/>
  <c r="G144" i="3" s="1"/>
  <c r="E144" i="3"/>
  <c r="D144" i="3"/>
  <c r="C144" i="3"/>
  <c r="B144" i="3"/>
  <c r="Q143" i="3"/>
  <c r="P143" i="3"/>
  <c r="O143" i="3"/>
  <c r="N143" i="3"/>
  <c r="M143" i="3"/>
  <c r="L143" i="3"/>
  <c r="K143" i="3"/>
  <c r="F143" i="3"/>
  <c r="E143" i="3"/>
  <c r="D143" i="3"/>
  <c r="C143" i="3"/>
  <c r="B143" i="3"/>
  <c r="Q142" i="3"/>
  <c r="P142" i="3"/>
  <c r="O142" i="3"/>
  <c r="N142" i="3"/>
  <c r="M142" i="3"/>
  <c r="L142" i="3"/>
  <c r="K142" i="3"/>
  <c r="F142" i="3"/>
  <c r="E142" i="3"/>
  <c r="D142" i="3"/>
  <c r="C142" i="3"/>
  <c r="B142" i="3"/>
  <c r="P141" i="3"/>
  <c r="O141" i="3"/>
  <c r="Q141" i="3" s="1"/>
  <c r="N141" i="3"/>
  <c r="M141" i="3"/>
  <c r="L141" i="3"/>
  <c r="K141" i="3"/>
  <c r="F141" i="3"/>
  <c r="E141" i="3"/>
  <c r="D141" i="3"/>
  <c r="C141" i="3"/>
  <c r="B141" i="3"/>
  <c r="P140" i="3"/>
  <c r="O140" i="3"/>
  <c r="N140" i="3"/>
  <c r="Q140" i="3" s="1"/>
  <c r="M140" i="3"/>
  <c r="L140" i="3"/>
  <c r="K140" i="3"/>
  <c r="F140" i="3"/>
  <c r="E140" i="3"/>
  <c r="D140" i="3"/>
  <c r="C140" i="3"/>
  <c r="B140" i="3"/>
  <c r="O139" i="3"/>
  <c r="N139" i="3"/>
  <c r="M139" i="3"/>
  <c r="P139" i="3" s="1"/>
  <c r="L139" i="3"/>
  <c r="K139" i="3"/>
  <c r="F139" i="3"/>
  <c r="E139" i="3"/>
  <c r="D139" i="3"/>
  <c r="C139" i="3"/>
  <c r="B139" i="3"/>
  <c r="N138" i="3"/>
  <c r="M138" i="3"/>
  <c r="L138" i="3"/>
  <c r="K138" i="3"/>
  <c r="F138" i="3"/>
  <c r="E138" i="3"/>
  <c r="I138" i="3" s="1"/>
  <c r="D138" i="3"/>
  <c r="C138" i="3"/>
  <c r="B138" i="3"/>
  <c r="M137" i="3"/>
  <c r="L137" i="3"/>
  <c r="K137" i="3"/>
  <c r="I137" i="3"/>
  <c r="F137" i="3"/>
  <c r="E137" i="3"/>
  <c r="D137" i="3"/>
  <c r="C137" i="3"/>
  <c r="B137" i="3"/>
  <c r="P136" i="3"/>
  <c r="M136" i="3"/>
  <c r="O136" i="3" s="1"/>
  <c r="L136" i="3"/>
  <c r="K136" i="3"/>
  <c r="F136" i="3"/>
  <c r="I136" i="3" s="1"/>
  <c r="E136" i="3"/>
  <c r="D136" i="3"/>
  <c r="C136" i="3"/>
  <c r="B136" i="3"/>
  <c r="Q135" i="3"/>
  <c r="P135" i="3"/>
  <c r="O135" i="3"/>
  <c r="N135" i="3"/>
  <c r="M135" i="3"/>
  <c r="L135" i="3"/>
  <c r="K135" i="3"/>
  <c r="F135" i="3"/>
  <c r="E135" i="3"/>
  <c r="D135" i="3"/>
  <c r="C135" i="3"/>
  <c r="B135" i="3"/>
  <c r="Q134" i="3"/>
  <c r="P134" i="3"/>
  <c r="O134" i="3"/>
  <c r="N134" i="3"/>
  <c r="M134" i="3"/>
  <c r="L134" i="3"/>
  <c r="K134" i="3"/>
  <c r="F134" i="3"/>
  <c r="I134" i="3" s="1"/>
  <c r="E134" i="3"/>
  <c r="D134" i="3"/>
  <c r="C134" i="3"/>
  <c r="B134" i="3"/>
  <c r="P133" i="3"/>
  <c r="O133" i="3"/>
  <c r="Q133" i="3" s="1"/>
  <c r="M133" i="3"/>
  <c r="N133" i="3" s="1"/>
  <c r="L133" i="3"/>
  <c r="K133" i="3"/>
  <c r="F133" i="3"/>
  <c r="E133" i="3"/>
  <c r="D133" i="3"/>
  <c r="C133" i="3"/>
  <c r="B133" i="3"/>
  <c r="M132" i="3"/>
  <c r="N132" i="3" s="1"/>
  <c r="L132" i="3"/>
  <c r="K132" i="3"/>
  <c r="F132" i="3"/>
  <c r="E132" i="3"/>
  <c r="D132" i="3"/>
  <c r="C132" i="3"/>
  <c r="B132" i="3"/>
  <c r="M131" i="3"/>
  <c r="L131" i="3"/>
  <c r="K131" i="3"/>
  <c r="F131" i="3"/>
  <c r="E131" i="3"/>
  <c r="D131" i="3"/>
  <c r="C131" i="3"/>
  <c r="B131" i="3"/>
  <c r="P130" i="3"/>
  <c r="M130" i="3"/>
  <c r="N130" i="3" s="1"/>
  <c r="L130" i="3"/>
  <c r="K130" i="3"/>
  <c r="I130" i="3"/>
  <c r="H130" i="3"/>
  <c r="F130" i="3"/>
  <c r="G130" i="3" s="1"/>
  <c r="E130" i="3"/>
  <c r="D130" i="3"/>
  <c r="C130" i="3"/>
  <c r="B130" i="3"/>
  <c r="P129" i="3"/>
  <c r="O129" i="3"/>
  <c r="Q129" i="3" s="1"/>
  <c r="M129" i="3"/>
  <c r="N129" i="3" s="1"/>
  <c r="L129" i="3"/>
  <c r="K129" i="3"/>
  <c r="F129" i="3"/>
  <c r="E129" i="3"/>
  <c r="D129" i="3"/>
  <c r="C129" i="3"/>
  <c r="B129" i="3"/>
  <c r="P128" i="3"/>
  <c r="O128" i="3"/>
  <c r="M128" i="3"/>
  <c r="N128" i="3" s="1"/>
  <c r="L128" i="3"/>
  <c r="K128" i="3"/>
  <c r="F128" i="3"/>
  <c r="E128" i="3"/>
  <c r="D128" i="3"/>
  <c r="C128" i="3"/>
  <c r="B128" i="3"/>
  <c r="M127" i="3"/>
  <c r="L127" i="3"/>
  <c r="K127" i="3"/>
  <c r="F127" i="3"/>
  <c r="H127" i="3" s="1"/>
  <c r="E127" i="3"/>
  <c r="D127" i="3"/>
  <c r="C127" i="3"/>
  <c r="B127" i="3"/>
  <c r="P126" i="3"/>
  <c r="M126" i="3"/>
  <c r="N126" i="3" s="1"/>
  <c r="L126" i="3"/>
  <c r="K126" i="3"/>
  <c r="F126" i="3"/>
  <c r="I126" i="3" s="1"/>
  <c r="E126" i="3"/>
  <c r="D126" i="3"/>
  <c r="C126" i="3"/>
  <c r="B126" i="3"/>
  <c r="Q125" i="3"/>
  <c r="P125" i="3"/>
  <c r="O125" i="3"/>
  <c r="M125" i="3"/>
  <c r="N125" i="3" s="1"/>
  <c r="L125" i="3"/>
  <c r="K125" i="3"/>
  <c r="F125" i="3"/>
  <c r="G125" i="3" s="1"/>
  <c r="E125" i="3"/>
  <c r="D125" i="3"/>
  <c r="C125" i="3"/>
  <c r="B125" i="3"/>
  <c r="P124" i="3"/>
  <c r="O124" i="3"/>
  <c r="M124" i="3"/>
  <c r="N124" i="3" s="1"/>
  <c r="L124" i="3"/>
  <c r="K124" i="3"/>
  <c r="F124" i="3"/>
  <c r="E124" i="3"/>
  <c r="D124" i="3"/>
  <c r="C124" i="3"/>
  <c r="B124" i="3"/>
  <c r="M123" i="3"/>
  <c r="L123" i="3"/>
  <c r="K123" i="3"/>
  <c r="F123" i="3"/>
  <c r="E123" i="3"/>
  <c r="D123" i="3"/>
  <c r="C123" i="3"/>
  <c r="B123" i="3"/>
  <c r="P122" i="3"/>
  <c r="M122" i="3"/>
  <c r="N122" i="3" s="1"/>
  <c r="L122" i="3"/>
  <c r="K122" i="3"/>
  <c r="F122" i="3"/>
  <c r="E122" i="3"/>
  <c r="D122" i="3"/>
  <c r="G122" i="3" s="1"/>
  <c r="C122" i="3"/>
  <c r="B122" i="3"/>
  <c r="Q121" i="3"/>
  <c r="P121" i="3"/>
  <c r="O121" i="3"/>
  <c r="M121" i="3"/>
  <c r="N121" i="3" s="1"/>
  <c r="L121" i="3"/>
  <c r="K121" i="3"/>
  <c r="F121" i="3"/>
  <c r="E121" i="3"/>
  <c r="D121" i="3"/>
  <c r="C121" i="3"/>
  <c r="B121" i="3"/>
  <c r="M120" i="3"/>
  <c r="L120" i="3"/>
  <c r="K120" i="3"/>
  <c r="F120" i="3"/>
  <c r="E120" i="3"/>
  <c r="D120" i="3"/>
  <c r="C120" i="3"/>
  <c r="B120" i="3"/>
  <c r="M119" i="3"/>
  <c r="L119" i="3"/>
  <c r="K119" i="3"/>
  <c r="F119" i="3"/>
  <c r="I119" i="3" s="1"/>
  <c r="E119" i="3"/>
  <c r="D119" i="3"/>
  <c r="C119" i="3"/>
  <c r="B119" i="3"/>
  <c r="P118" i="3"/>
  <c r="M118" i="3"/>
  <c r="N118" i="3" s="1"/>
  <c r="L118" i="3"/>
  <c r="K118" i="3"/>
  <c r="F118" i="3"/>
  <c r="E118" i="3"/>
  <c r="D118" i="3"/>
  <c r="C118" i="3"/>
  <c r="B118" i="3"/>
  <c r="P117" i="3"/>
  <c r="O117" i="3"/>
  <c r="Q117" i="3" s="1"/>
  <c r="M117" i="3"/>
  <c r="N117" i="3" s="1"/>
  <c r="L117" i="3"/>
  <c r="K117" i="3"/>
  <c r="F117" i="3"/>
  <c r="E117" i="3"/>
  <c r="D117" i="3"/>
  <c r="C117" i="3"/>
  <c r="B117" i="3"/>
  <c r="M116" i="3"/>
  <c r="N116" i="3" s="1"/>
  <c r="L116" i="3"/>
  <c r="K116" i="3"/>
  <c r="F116" i="3"/>
  <c r="E116" i="3"/>
  <c r="D116" i="3"/>
  <c r="C116" i="3"/>
  <c r="B116" i="3"/>
  <c r="M115" i="3"/>
  <c r="L115" i="3"/>
  <c r="K115" i="3"/>
  <c r="I115" i="3"/>
  <c r="H115" i="3"/>
  <c r="F115" i="3"/>
  <c r="E115" i="3"/>
  <c r="G115" i="3" s="1"/>
  <c r="D115" i="3"/>
  <c r="C115" i="3"/>
  <c r="B115" i="3"/>
  <c r="P114" i="3"/>
  <c r="M114" i="3"/>
  <c r="N114" i="3" s="1"/>
  <c r="L114" i="3"/>
  <c r="K114" i="3"/>
  <c r="F114" i="3"/>
  <c r="H114" i="3" s="1"/>
  <c r="E114" i="3"/>
  <c r="D114" i="3"/>
  <c r="C114" i="3"/>
  <c r="B114" i="3"/>
  <c r="P113" i="3"/>
  <c r="O113" i="3"/>
  <c r="Q113" i="3" s="1"/>
  <c r="M113" i="3"/>
  <c r="N113" i="3" s="1"/>
  <c r="L113" i="3"/>
  <c r="K113" i="3"/>
  <c r="F113" i="3"/>
  <c r="H113" i="3" s="1"/>
  <c r="E113" i="3"/>
  <c r="D113" i="3"/>
  <c r="C113" i="3"/>
  <c r="B113" i="3"/>
  <c r="P112" i="3"/>
  <c r="O112" i="3"/>
  <c r="M112" i="3"/>
  <c r="N112" i="3" s="1"/>
  <c r="L112" i="3"/>
  <c r="K112" i="3"/>
  <c r="F112" i="3"/>
  <c r="E112" i="3"/>
  <c r="D112" i="3"/>
  <c r="C112" i="3"/>
  <c r="B112" i="3"/>
  <c r="M111" i="3"/>
  <c r="L111" i="3"/>
  <c r="K111" i="3"/>
  <c r="F111" i="3"/>
  <c r="I111" i="3" s="1"/>
  <c r="E111" i="3"/>
  <c r="D111" i="3"/>
  <c r="C111" i="3"/>
  <c r="B111" i="3"/>
  <c r="P110" i="3"/>
  <c r="M110" i="3"/>
  <c r="N110" i="3" s="1"/>
  <c r="L110" i="3"/>
  <c r="K110" i="3"/>
  <c r="F110" i="3"/>
  <c r="I110" i="3" s="1"/>
  <c r="E110" i="3"/>
  <c r="D110" i="3"/>
  <c r="C110" i="3"/>
  <c r="B110" i="3"/>
  <c r="M109" i="3"/>
  <c r="N109" i="3" s="1"/>
  <c r="L109" i="3"/>
  <c r="K109" i="3"/>
  <c r="F109" i="3"/>
  <c r="E109" i="3"/>
  <c r="D109" i="3"/>
  <c r="C109" i="3"/>
  <c r="B109" i="3"/>
  <c r="M108" i="3"/>
  <c r="N108" i="3" s="1"/>
  <c r="L108" i="3"/>
  <c r="K108" i="3"/>
  <c r="F108" i="3"/>
  <c r="E108" i="3"/>
  <c r="D108" i="3"/>
  <c r="C108" i="3"/>
  <c r="B108" i="3"/>
  <c r="M107" i="3"/>
  <c r="L107" i="3"/>
  <c r="K107" i="3"/>
  <c r="F107" i="3"/>
  <c r="H107" i="3" s="1"/>
  <c r="E107" i="3"/>
  <c r="D107" i="3"/>
  <c r="C107" i="3"/>
  <c r="B107" i="3"/>
  <c r="P106" i="3"/>
  <c r="M106" i="3"/>
  <c r="N106" i="3" s="1"/>
  <c r="L106" i="3"/>
  <c r="K106" i="3"/>
  <c r="F106" i="3"/>
  <c r="E106" i="3"/>
  <c r="D106" i="3"/>
  <c r="C106" i="3"/>
  <c r="B106" i="3"/>
  <c r="Q105" i="3"/>
  <c r="P105" i="3"/>
  <c r="O105" i="3"/>
  <c r="M105" i="3"/>
  <c r="N105" i="3" s="1"/>
  <c r="L105" i="3"/>
  <c r="K105" i="3"/>
  <c r="F105" i="3"/>
  <c r="E105" i="3"/>
  <c r="D105" i="3"/>
  <c r="C105" i="3"/>
  <c r="B105" i="3"/>
  <c r="M104" i="3"/>
  <c r="L104" i="3"/>
  <c r="K104" i="3"/>
  <c r="F104" i="3"/>
  <c r="E104" i="3"/>
  <c r="D104" i="3"/>
  <c r="C104" i="3"/>
  <c r="B104" i="3"/>
  <c r="M103" i="3"/>
  <c r="L103" i="3"/>
  <c r="K103" i="3"/>
  <c r="F103" i="3"/>
  <c r="E103" i="3"/>
  <c r="G103" i="3" s="1"/>
  <c r="D103" i="3"/>
  <c r="C103" i="3"/>
  <c r="B103" i="3"/>
  <c r="P102" i="3"/>
  <c r="M102" i="3"/>
  <c r="N102" i="3" s="1"/>
  <c r="L102" i="3"/>
  <c r="K102" i="3"/>
  <c r="F102" i="3"/>
  <c r="I102" i="3" s="1"/>
  <c r="E102" i="3"/>
  <c r="D102" i="3"/>
  <c r="C102" i="3"/>
  <c r="B102" i="3"/>
  <c r="M101" i="3"/>
  <c r="N101" i="3" s="1"/>
  <c r="L101" i="3"/>
  <c r="K101" i="3"/>
  <c r="F101" i="3"/>
  <c r="E101" i="3"/>
  <c r="D101" i="3"/>
  <c r="C101" i="3"/>
  <c r="B101" i="3"/>
  <c r="M100" i="3"/>
  <c r="N100" i="3" s="1"/>
  <c r="L100" i="3"/>
  <c r="K100" i="3"/>
  <c r="F100" i="3"/>
  <c r="E100" i="3"/>
  <c r="D100" i="3"/>
  <c r="C100" i="3"/>
  <c r="B100" i="3"/>
  <c r="M99" i="3"/>
  <c r="L99" i="3"/>
  <c r="K99" i="3"/>
  <c r="I99" i="3"/>
  <c r="F99" i="3"/>
  <c r="E99" i="3"/>
  <c r="D99" i="3"/>
  <c r="H99" i="3" s="1"/>
  <c r="C99" i="3"/>
  <c r="B99" i="3"/>
  <c r="P98" i="3"/>
  <c r="M98" i="3"/>
  <c r="N98" i="3" s="1"/>
  <c r="L98" i="3"/>
  <c r="K98" i="3"/>
  <c r="F98" i="3"/>
  <c r="E98" i="3"/>
  <c r="D98" i="3"/>
  <c r="C98" i="3"/>
  <c r="B98" i="3"/>
  <c r="M97" i="3"/>
  <c r="L97" i="3"/>
  <c r="K97" i="3"/>
  <c r="F97" i="3"/>
  <c r="E97" i="3"/>
  <c r="D97" i="3"/>
  <c r="C97" i="3"/>
  <c r="B97" i="3"/>
  <c r="P96" i="3"/>
  <c r="O96" i="3"/>
  <c r="M96" i="3"/>
  <c r="N96" i="3" s="1"/>
  <c r="L96" i="3"/>
  <c r="K96" i="3"/>
  <c r="F96" i="3"/>
  <c r="E96" i="3"/>
  <c r="D96" i="3"/>
  <c r="C96" i="3"/>
  <c r="B96" i="3"/>
  <c r="M95" i="3"/>
  <c r="L95" i="3"/>
  <c r="K95" i="3"/>
  <c r="F95" i="3"/>
  <c r="E95" i="3"/>
  <c r="D95" i="3"/>
  <c r="C95" i="3"/>
  <c r="B95" i="3"/>
  <c r="P94" i="3"/>
  <c r="M94" i="3"/>
  <c r="N94" i="3" s="1"/>
  <c r="L94" i="3"/>
  <c r="K94" i="3"/>
  <c r="F94" i="3"/>
  <c r="G94" i="3" s="1"/>
  <c r="E94" i="3"/>
  <c r="D94" i="3"/>
  <c r="C94" i="3"/>
  <c r="B94" i="3"/>
  <c r="M93" i="3"/>
  <c r="N93" i="3" s="1"/>
  <c r="L93" i="3"/>
  <c r="K93" i="3"/>
  <c r="I93" i="3"/>
  <c r="F93" i="3"/>
  <c r="H93" i="3" s="1"/>
  <c r="E93" i="3"/>
  <c r="G93" i="3" s="1"/>
  <c r="D93" i="3"/>
  <c r="C93" i="3"/>
  <c r="B93" i="3"/>
  <c r="Q92" i="3"/>
  <c r="P92" i="3"/>
  <c r="O92" i="3"/>
  <c r="M92" i="3"/>
  <c r="N92" i="3" s="1"/>
  <c r="L92" i="3"/>
  <c r="K92" i="3"/>
  <c r="F92" i="3"/>
  <c r="E92" i="3"/>
  <c r="D92" i="3"/>
  <c r="C92" i="3"/>
  <c r="B92" i="3"/>
  <c r="M91" i="3"/>
  <c r="L91" i="3"/>
  <c r="K91" i="3"/>
  <c r="F91" i="3"/>
  <c r="I91" i="3" s="1"/>
  <c r="E91" i="3"/>
  <c r="G91" i="3" s="1"/>
  <c r="D91" i="3"/>
  <c r="C91" i="3"/>
  <c r="B91" i="3"/>
  <c r="P90" i="3"/>
  <c r="M90" i="3"/>
  <c r="L90" i="3"/>
  <c r="K90" i="3"/>
  <c r="I90" i="3"/>
  <c r="F90" i="3"/>
  <c r="H90" i="3" s="1"/>
  <c r="E90" i="3"/>
  <c r="D90" i="3"/>
  <c r="C90" i="3"/>
  <c r="B90" i="3"/>
  <c r="M89" i="3"/>
  <c r="N89" i="3" s="1"/>
  <c r="L89" i="3"/>
  <c r="K89" i="3"/>
  <c r="F89" i="3"/>
  <c r="E89" i="3"/>
  <c r="D89" i="3"/>
  <c r="C89" i="3"/>
  <c r="B89" i="3"/>
  <c r="M88" i="3"/>
  <c r="L88" i="3"/>
  <c r="K88" i="3"/>
  <c r="F88" i="3"/>
  <c r="E88" i="3"/>
  <c r="D88" i="3"/>
  <c r="C88" i="3"/>
  <c r="B88" i="3"/>
  <c r="M87" i="3"/>
  <c r="L87" i="3"/>
  <c r="K87" i="3"/>
  <c r="F87" i="3"/>
  <c r="E87" i="3"/>
  <c r="D87" i="3"/>
  <c r="C87" i="3"/>
  <c r="B87" i="3"/>
  <c r="P86" i="3"/>
  <c r="O86" i="3"/>
  <c r="N86" i="3"/>
  <c r="M86" i="3"/>
  <c r="L86" i="3"/>
  <c r="K86" i="3"/>
  <c r="F86" i="3"/>
  <c r="H86" i="3" s="1"/>
  <c r="E86" i="3"/>
  <c r="D86" i="3"/>
  <c r="C86" i="3"/>
  <c r="B86" i="3"/>
  <c r="M85" i="3"/>
  <c r="P85" i="3" s="1"/>
  <c r="L85" i="3"/>
  <c r="K85" i="3"/>
  <c r="F85" i="3"/>
  <c r="E85" i="3"/>
  <c r="D85" i="3"/>
  <c r="C85" i="3"/>
  <c r="B85" i="3"/>
  <c r="M84" i="3"/>
  <c r="O84" i="3" s="1"/>
  <c r="L84" i="3"/>
  <c r="K84" i="3"/>
  <c r="I84" i="3"/>
  <c r="H84" i="3"/>
  <c r="F84" i="3"/>
  <c r="E84" i="3"/>
  <c r="D84" i="3"/>
  <c r="C84" i="3"/>
  <c r="B84" i="3"/>
  <c r="Q83" i="3"/>
  <c r="P83" i="3"/>
  <c r="O83" i="3"/>
  <c r="M83" i="3"/>
  <c r="N83" i="3" s="1"/>
  <c r="L83" i="3"/>
  <c r="K83" i="3"/>
  <c r="F83" i="3"/>
  <c r="E83" i="3"/>
  <c r="D83" i="3"/>
  <c r="C83" i="3"/>
  <c r="B83" i="3"/>
  <c r="Q82" i="3"/>
  <c r="P82" i="3"/>
  <c r="O82" i="3"/>
  <c r="N82" i="3"/>
  <c r="M82" i="3"/>
  <c r="L82" i="3"/>
  <c r="K82" i="3"/>
  <c r="F82" i="3"/>
  <c r="E82" i="3"/>
  <c r="D82" i="3"/>
  <c r="C82" i="3"/>
  <c r="B82" i="3"/>
  <c r="P81" i="3"/>
  <c r="O81" i="3"/>
  <c r="N81" i="3"/>
  <c r="Q81" i="3" s="1"/>
  <c r="M81" i="3"/>
  <c r="L81" i="3"/>
  <c r="K81" i="3"/>
  <c r="F81" i="3"/>
  <c r="E81" i="3"/>
  <c r="D81" i="3"/>
  <c r="C81" i="3"/>
  <c r="B81" i="3"/>
  <c r="O80" i="3"/>
  <c r="N80" i="3"/>
  <c r="Q80" i="3" s="1"/>
  <c r="M80" i="3"/>
  <c r="P80" i="3" s="1"/>
  <c r="L80" i="3"/>
  <c r="K80" i="3"/>
  <c r="F80" i="3"/>
  <c r="E80" i="3"/>
  <c r="D80" i="3"/>
  <c r="C80" i="3"/>
  <c r="B80" i="3"/>
  <c r="M79" i="3"/>
  <c r="L79" i="3"/>
  <c r="K79" i="3"/>
  <c r="F79" i="3"/>
  <c r="E79" i="3"/>
  <c r="D79" i="3"/>
  <c r="C79" i="3"/>
  <c r="B79" i="3"/>
  <c r="P78" i="3"/>
  <c r="M78" i="3"/>
  <c r="O78" i="3" s="1"/>
  <c r="L78" i="3"/>
  <c r="K78" i="3"/>
  <c r="F78" i="3"/>
  <c r="E78" i="3"/>
  <c r="D78" i="3"/>
  <c r="C78" i="3"/>
  <c r="B78" i="3"/>
  <c r="Q77" i="3"/>
  <c r="O77" i="3"/>
  <c r="N77" i="3"/>
  <c r="M77" i="3"/>
  <c r="P77" i="3" s="1"/>
  <c r="L77" i="3"/>
  <c r="K77" i="3"/>
  <c r="F77" i="3"/>
  <c r="E77" i="3"/>
  <c r="D77" i="3"/>
  <c r="C77" i="3"/>
  <c r="B77" i="3"/>
  <c r="M76" i="3"/>
  <c r="L76" i="3"/>
  <c r="K76" i="3"/>
  <c r="F76" i="3"/>
  <c r="E76" i="3"/>
  <c r="D76" i="3"/>
  <c r="C76" i="3"/>
  <c r="B76" i="3"/>
  <c r="M75" i="3"/>
  <c r="N75" i="3" s="1"/>
  <c r="L75" i="3"/>
  <c r="K75" i="3"/>
  <c r="F75" i="3"/>
  <c r="I75" i="3" s="1"/>
  <c r="E75" i="3"/>
  <c r="D75" i="3"/>
  <c r="C75" i="3"/>
  <c r="B75" i="3"/>
  <c r="Q74" i="3"/>
  <c r="P74" i="3"/>
  <c r="O74" i="3"/>
  <c r="N74" i="3"/>
  <c r="M74" i="3"/>
  <c r="L74" i="3"/>
  <c r="K74" i="3"/>
  <c r="F74" i="3"/>
  <c r="E74" i="3"/>
  <c r="D74" i="3"/>
  <c r="H74" i="3" s="1"/>
  <c r="C74" i="3"/>
  <c r="B74" i="3"/>
  <c r="P73" i="3"/>
  <c r="O73" i="3"/>
  <c r="Q73" i="3" s="1"/>
  <c r="N73" i="3"/>
  <c r="M73" i="3"/>
  <c r="L73" i="3"/>
  <c r="K73" i="3"/>
  <c r="F73" i="3"/>
  <c r="E73" i="3"/>
  <c r="D73" i="3"/>
  <c r="C73" i="3"/>
  <c r="B73" i="3"/>
  <c r="P72" i="3"/>
  <c r="O72" i="3"/>
  <c r="N72" i="3"/>
  <c r="Q72" i="3" s="1"/>
  <c r="M72" i="3"/>
  <c r="L72" i="3"/>
  <c r="K72" i="3"/>
  <c r="F72" i="3"/>
  <c r="E72" i="3"/>
  <c r="D72" i="3"/>
  <c r="C72" i="3"/>
  <c r="B72" i="3"/>
  <c r="O71" i="3"/>
  <c r="N71" i="3"/>
  <c r="M71" i="3"/>
  <c r="P71" i="3" s="1"/>
  <c r="L71" i="3"/>
  <c r="K71" i="3"/>
  <c r="F71" i="3"/>
  <c r="E71" i="3"/>
  <c r="D71" i="3"/>
  <c r="C71" i="3"/>
  <c r="B71" i="3"/>
  <c r="M70" i="3"/>
  <c r="P70" i="3" s="1"/>
  <c r="L70" i="3"/>
  <c r="K70" i="3"/>
  <c r="F70" i="3"/>
  <c r="E70" i="3"/>
  <c r="D70" i="3"/>
  <c r="C70" i="3"/>
  <c r="B70" i="3"/>
  <c r="Q69" i="3"/>
  <c r="O69" i="3"/>
  <c r="N69" i="3"/>
  <c r="M69" i="3"/>
  <c r="P69" i="3" s="1"/>
  <c r="L69" i="3"/>
  <c r="K69" i="3"/>
  <c r="F69" i="3"/>
  <c r="E69" i="3"/>
  <c r="D69" i="3"/>
  <c r="C69" i="3"/>
  <c r="B69" i="3"/>
  <c r="N68" i="3"/>
  <c r="M68" i="3"/>
  <c r="L68" i="3"/>
  <c r="K68" i="3"/>
  <c r="F68" i="3"/>
  <c r="E68" i="3"/>
  <c r="D68" i="3"/>
  <c r="C68" i="3"/>
  <c r="B68" i="3"/>
  <c r="M67" i="3"/>
  <c r="N67" i="3" s="1"/>
  <c r="L67" i="3"/>
  <c r="K67" i="3"/>
  <c r="F67" i="3"/>
  <c r="E67" i="3"/>
  <c r="D67" i="3"/>
  <c r="C67" i="3"/>
  <c r="B67" i="3"/>
  <c r="Q66" i="3"/>
  <c r="P66" i="3"/>
  <c r="O66" i="3"/>
  <c r="N66" i="3"/>
  <c r="M66" i="3"/>
  <c r="L66" i="3"/>
  <c r="K66" i="3"/>
  <c r="F66" i="3"/>
  <c r="I66" i="3" s="1"/>
  <c r="E66" i="3"/>
  <c r="D66" i="3"/>
  <c r="C66" i="3"/>
  <c r="B66" i="3"/>
  <c r="Q65" i="3"/>
  <c r="P65" i="3"/>
  <c r="O65" i="3"/>
  <c r="N65" i="3"/>
  <c r="M65" i="3"/>
  <c r="L65" i="3"/>
  <c r="K65" i="3"/>
  <c r="H65" i="3"/>
  <c r="F65" i="3"/>
  <c r="E65" i="3"/>
  <c r="D65" i="3"/>
  <c r="G65" i="3" s="1"/>
  <c r="C65" i="3"/>
  <c r="B65" i="3"/>
  <c r="P64" i="3"/>
  <c r="O64" i="3"/>
  <c r="Q64" i="3" s="1"/>
  <c r="N64" i="3"/>
  <c r="M64" i="3"/>
  <c r="L64" i="3"/>
  <c r="K64" i="3"/>
  <c r="F64" i="3"/>
  <c r="E64" i="3"/>
  <c r="D64" i="3"/>
  <c r="C64" i="3"/>
  <c r="B64" i="3"/>
  <c r="P63" i="3"/>
  <c r="O63" i="3"/>
  <c r="N63" i="3"/>
  <c r="M63" i="3"/>
  <c r="L63" i="3"/>
  <c r="K63" i="3"/>
  <c r="F63" i="3"/>
  <c r="E63" i="3"/>
  <c r="D63" i="3"/>
  <c r="C63" i="3"/>
  <c r="B63" i="3"/>
  <c r="M62" i="3"/>
  <c r="L62" i="3"/>
  <c r="K62" i="3"/>
  <c r="F62" i="3"/>
  <c r="E62" i="3"/>
  <c r="D62" i="3"/>
  <c r="C62" i="3"/>
  <c r="B62" i="3"/>
  <c r="Q61" i="3"/>
  <c r="O61" i="3"/>
  <c r="N61" i="3"/>
  <c r="M61" i="3"/>
  <c r="P61" i="3" s="1"/>
  <c r="L61" i="3"/>
  <c r="K61" i="3"/>
  <c r="F61" i="3"/>
  <c r="E61" i="3"/>
  <c r="D61" i="3"/>
  <c r="C61" i="3"/>
  <c r="B61" i="3"/>
  <c r="P60" i="3"/>
  <c r="N60" i="3"/>
  <c r="Q60" i="3" s="1"/>
  <c r="M60" i="3"/>
  <c r="O60" i="3" s="1"/>
  <c r="L60" i="3"/>
  <c r="K60" i="3"/>
  <c r="F60" i="3"/>
  <c r="E60" i="3"/>
  <c r="D60" i="3"/>
  <c r="C60" i="3"/>
  <c r="B60" i="3"/>
  <c r="M59" i="3"/>
  <c r="L59" i="3"/>
  <c r="K59" i="3"/>
  <c r="F59" i="3"/>
  <c r="H59" i="3" s="1"/>
  <c r="E59" i="3"/>
  <c r="D59" i="3"/>
  <c r="C59" i="3"/>
  <c r="B59" i="3"/>
  <c r="Q58" i="3"/>
  <c r="P58" i="3"/>
  <c r="O58" i="3"/>
  <c r="N58" i="3"/>
  <c r="M58" i="3"/>
  <c r="L58" i="3"/>
  <c r="K58" i="3"/>
  <c r="F58" i="3"/>
  <c r="E58" i="3"/>
  <c r="D58" i="3"/>
  <c r="C58" i="3"/>
  <c r="B58" i="3"/>
  <c r="P57" i="3"/>
  <c r="M57" i="3"/>
  <c r="O57" i="3" s="1"/>
  <c r="L57" i="3"/>
  <c r="K57" i="3"/>
  <c r="F57" i="3"/>
  <c r="H57" i="3" s="1"/>
  <c r="E57" i="3"/>
  <c r="D57" i="3"/>
  <c r="C57" i="3"/>
  <c r="B57" i="3"/>
  <c r="Q56" i="3"/>
  <c r="P56" i="3"/>
  <c r="O56" i="3"/>
  <c r="N56" i="3"/>
  <c r="M56" i="3"/>
  <c r="L56" i="3"/>
  <c r="K56" i="3"/>
  <c r="F56" i="3"/>
  <c r="G56" i="3" s="1"/>
  <c r="E56" i="3"/>
  <c r="D56" i="3"/>
  <c r="C56" i="3"/>
  <c r="B56" i="3"/>
  <c r="P55" i="3"/>
  <c r="O55" i="3"/>
  <c r="Q55" i="3" s="1"/>
  <c r="N55" i="3"/>
  <c r="M55" i="3"/>
  <c r="L55" i="3"/>
  <c r="K55" i="3"/>
  <c r="F55" i="3"/>
  <c r="E55" i="3"/>
  <c r="D55" i="3"/>
  <c r="C55" i="3"/>
  <c r="B55" i="3"/>
  <c r="M54" i="3"/>
  <c r="L54" i="3"/>
  <c r="K54" i="3"/>
  <c r="F54" i="3"/>
  <c r="E54" i="3"/>
  <c r="D54" i="3"/>
  <c r="C54" i="3"/>
  <c r="B54" i="3"/>
  <c r="M53" i="3"/>
  <c r="L53" i="3"/>
  <c r="K53" i="3"/>
  <c r="F53" i="3"/>
  <c r="E53" i="3"/>
  <c r="I53" i="3" s="1"/>
  <c r="D53" i="3"/>
  <c r="C53" i="3"/>
  <c r="B53" i="3"/>
  <c r="M52" i="3"/>
  <c r="P52" i="3" s="1"/>
  <c r="L52" i="3"/>
  <c r="K52" i="3"/>
  <c r="F52" i="3"/>
  <c r="H52" i="3" s="1"/>
  <c r="E52" i="3"/>
  <c r="D52" i="3"/>
  <c r="C52" i="3"/>
  <c r="B52" i="3"/>
  <c r="P51" i="3"/>
  <c r="M51" i="3"/>
  <c r="O51" i="3" s="1"/>
  <c r="L51" i="3"/>
  <c r="K51" i="3"/>
  <c r="F51" i="3"/>
  <c r="I51" i="3" s="1"/>
  <c r="E51" i="3"/>
  <c r="G51" i="3" s="1"/>
  <c r="D51" i="3"/>
  <c r="H51" i="3" s="1"/>
  <c r="C51" i="3"/>
  <c r="B51" i="3"/>
  <c r="Q50" i="3"/>
  <c r="P50" i="3"/>
  <c r="O50" i="3"/>
  <c r="N50" i="3"/>
  <c r="M50" i="3"/>
  <c r="L50" i="3"/>
  <c r="K50" i="3"/>
  <c r="I50" i="3"/>
  <c r="H50" i="3"/>
  <c r="F50" i="3"/>
  <c r="G50" i="3" s="1"/>
  <c r="E50" i="3"/>
  <c r="D50" i="3"/>
  <c r="C50" i="3"/>
  <c r="B50" i="3"/>
  <c r="P49" i="3"/>
  <c r="O49" i="3"/>
  <c r="Q49" i="3" s="1"/>
  <c r="N49" i="3"/>
  <c r="M49" i="3"/>
  <c r="L49" i="3"/>
  <c r="K49" i="3"/>
  <c r="F49" i="3"/>
  <c r="E49" i="3"/>
  <c r="D49" i="3"/>
  <c r="C49" i="3"/>
  <c r="B49" i="3"/>
  <c r="P48" i="3"/>
  <c r="O48" i="3"/>
  <c r="N48" i="3"/>
  <c r="M48" i="3"/>
  <c r="L48" i="3"/>
  <c r="K48" i="3"/>
  <c r="F48" i="3"/>
  <c r="E48" i="3"/>
  <c r="D48" i="3"/>
  <c r="C48" i="3"/>
  <c r="B48" i="3"/>
  <c r="M47" i="3"/>
  <c r="P47" i="3" s="1"/>
  <c r="L47" i="3"/>
  <c r="K47" i="3"/>
  <c r="F47" i="3"/>
  <c r="E47" i="3"/>
  <c r="D47" i="3"/>
  <c r="C47" i="3"/>
  <c r="B47" i="3"/>
  <c r="M46" i="3"/>
  <c r="N46" i="3" s="1"/>
  <c r="L46" i="3"/>
  <c r="K46" i="3"/>
  <c r="F46" i="3"/>
  <c r="E46" i="3"/>
  <c r="D46" i="3"/>
  <c r="C46" i="3"/>
  <c r="B46" i="3"/>
  <c r="M45" i="3"/>
  <c r="L45" i="3"/>
  <c r="K45" i="3"/>
  <c r="F45" i="3"/>
  <c r="E45" i="3"/>
  <c r="D45" i="3"/>
  <c r="C45" i="3"/>
  <c r="B45" i="3"/>
  <c r="N44" i="3"/>
  <c r="M44" i="3"/>
  <c r="L44" i="3"/>
  <c r="K44" i="3"/>
  <c r="F44" i="3"/>
  <c r="E44" i="3"/>
  <c r="D44" i="3"/>
  <c r="C44" i="3"/>
  <c r="B44" i="3"/>
  <c r="N43" i="3"/>
  <c r="M43" i="3"/>
  <c r="L43" i="3"/>
  <c r="K43" i="3"/>
  <c r="F43" i="3"/>
  <c r="E43" i="3"/>
  <c r="D43" i="3"/>
  <c r="C43" i="3"/>
  <c r="B43" i="3"/>
  <c r="O42" i="3"/>
  <c r="N42" i="3"/>
  <c r="Q42" i="3" s="1"/>
  <c r="M42" i="3"/>
  <c r="P42" i="3" s="1"/>
  <c r="L42" i="3"/>
  <c r="K42" i="3"/>
  <c r="F42" i="3"/>
  <c r="E42" i="3"/>
  <c r="D42" i="3"/>
  <c r="C42" i="3"/>
  <c r="B42" i="3"/>
  <c r="M41" i="3"/>
  <c r="L41" i="3"/>
  <c r="K41" i="3"/>
  <c r="F41" i="3"/>
  <c r="E41" i="3"/>
  <c r="D41" i="3"/>
  <c r="C41" i="3"/>
  <c r="B41" i="3"/>
  <c r="M40" i="3"/>
  <c r="N40" i="3" s="1"/>
  <c r="L40" i="3"/>
  <c r="K40" i="3"/>
  <c r="F40" i="3"/>
  <c r="E40" i="3"/>
  <c r="D40" i="3"/>
  <c r="C40" i="3"/>
  <c r="B40" i="3"/>
  <c r="M39" i="3"/>
  <c r="L39" i="3"/>
  <c r="K39" i="3"/>
  <c r="F39" i="3"/>
  <c r="E39" i="3"/>
  <c r="D39" i="3"/>
  <c r="C39" i="3"/>
  <c r="B39" i="3"/>
  <c r="N38" i="3"/>
  <c r="M38" i="3"/>
  <c r="L38" i="3"/>
  <c r="K38" i="3"/>
  <c r="F38" i="3"/>
  <c r="E38" i="3"/>
  <c r="D38" i="3"/>
  <c r="C38" i="3"/>
  <c r="B38" i="3"/>
  <c r="N37" i="3"/>
  <c r="M37" i="3"/>
  <c r="L37" i="3"/>
  <c r="K37" i="3"/>
  <c r="F37" i="3"/>
  <c r="E37" i="3"/>
  <c r="D37" i="3"/>
  <c r="C37" i="3"/>
  <c r="B37" i="3"/>
  <c r="N36" i="3"/>
  <c r="M36" i="3"/>
  <c r="L36" i="3"/>
  <c r="K36" i="3"/>
  <c r="F36" i="3"/>
  <c r="E36" i="3"/>
  <c r="D36" i="3"/>
  <c r="C36" i="3"/>
  <c r="B36" i="3"/>
  <c r="M35" i="3"/>
  <c r="L35" i="3"/>
  <c r="K35" i="3"/>
  <c r="F35" i="3"/>
  <c r="E35" i="3"/>
  <c r="D35" i="3"/>
  <c r="C35" i="3"/>
  <c r="B35" i="3"/>
  <c r="N34" i="3"/>
  <c r="M34" i="3"/>
  <c r="L34" i="3"/>
  <c r="K34" i="3"/>
  <c r="F34" i="3"/>
  <c r="E34" i="3"/>
  <c r="D34" i="3"/>
  <c r="C34" i="3"/>
  <c r="B34" i="3"/>
  <c r="M33" i="3"/>
  <c r="P33" i="3" s="1"/>
  <c r="L33" i="3"/>
  <c r="K33" i="3"/>
  <c r="F33" i="3"/>
  <c r="E33" i="3"/>
  <c r="D33" i="3"/>
  <c r="C33" i="3"/>
  <c r="B33" i="3"/>
  <c r="O32" i="3"/>
  <c r="N32" i="3"/>
  <c r="M32" i="3"/>
  <c r="P32" i="3" s="1"/>
  <c r="L32" i="3"/>
  <c r="K32" i="3"/>
  <c r="F32" i="3"/>
  <c r="E32" i="3"/>
  <c r="D32" i="3"/>
  <c r="C32" i="3"/>
  <c r="B32" i="3"/>
  <c r="M31" i="3"/>
  <c r="P31" i="3" s="1"/>
  <c r="L31" i="3"/>
  <c r="K31" i="3"/>
  <c r="F31" i="3"/>
  <c r="E31" i="3"/>
  <c r="D31" i="3"/>
  <c r="C31" i="3"/>
  <c r="B31" i="3"/>
  <c r="N30" i="3"/>
  <c r="M30" i="3"/>
  <c r="P30" i="3" s="1"/>
  <c r="L30" i="3"/>
  <c r="K30" i="3"/>
  <c r="F30" i="3"/>
  <c r="E30" i="3"/>
  <c r="D30" i="3"/>
  <c r="C30" i="3"/>
  <c r="B30" i="3"/>
  <c r="M29" i="3"/>
  <c r="P29" i="3" s="1"/>
  <c r="L29" i="3"/>
  <c r="K29" i="3"/>
  <c r="F29" i="3"/>
  <c r="E29" i="3"/>
  <c r="D29" i="3"/>
  <c r="C29" i="3"/>
  <c r="B29" i="3"/>
  <c r="M28" i="3"/>
  <c r="P28" i="3" s="1"/>
  <c r="L28" i="3"/>
  <c r="K28" i="3"/>
  <c r="F28" i="3"/>
  <c r="E28" i="3"/>
  <c r="D28" i="3"/>
  <c r="C28" i="3"/>
  <c r="B28" i="3"/>
  <c r="O27" i="3"/>
  <c r="N27" i="3"/>
  <c r="M27" i="3"/>
  <c r="P27" i="3" s="1"/>
  <c r="L27" i="3"/>
  <c r="K27" i="3"/>
  <c r="F27" i="3"/>
  <c r="E27" i="3"/>
  <c r="D27" i="3"/>
  <c r="C27" i="3"/>
  <c r="B27" i="3"/>
  <c r="O26" i="3"/>
  <c r="N26" i="3"/>
  <c r="Q26" i="3" s="1"/>
  <c r="M26" i="3"/>
  <c r="P26" i="3" s="1"/>
  <c r="L26" i="3"/>
  <c r="K26" i="3"/>
  <c r="G26" i="3"/>
  <c r="F26" i="3"/>
  <c r="E26" i="3"/>
  <c r="D26" i="3"/>
  <c r="C26" i="3"/>
  <c r="B26" i="3"/>
  <c r="M25" i="3"/>
  <c r="L25" i="3"/>
  <c r="K25" i="3"/>
  <c r="F25" i="3"/>
  <c r="E25" i="3"/>
  <c r="D25" i="3"/>
  <c r="C25" i="3"/>
  <c r="B25" i="3"/>
  <c r="M24" i="3"/>
  <c r="P24" i="3" s="1"/>
  <c r="L24" i="3"/>
  <c r="K24" i="3"/>
  <c r="F24" i="3"/>
  <c r="E24" i="3"/>
  <c r="D24" i="3"/>
  <c r="C24" i="3"/>
  <c r="B24" i="3"/>
  <c r="M23" i="3"/>
  <c r="L23" i="3"/>
  <c r="K23" i="3"/>
  <c r="F23" i="3"/>
  <c r="E23" i="3"/>
  <c r="D23" i="3"/>
  <c r="C23" i="3"/>
  <c r="B23" i="3"/>
  <c r="M22" i="3"/>
  <c r="L22" i="3"/>
  <c r="K22" i="3"/>
  <c r="F22" i="3"/>
  <c r="E22" i="3"/>
  <c r="D22" i="3"/>
  <c r="C22" i="3"/>
  <c r="B22" i="3"/>
  <c r="M21" i="3"/>
  <c r="L21" i="3"/>
  <c r="K21" i="3"/>
  <c r="F21" i="3"/>
  <c r="E21" i="3"/>
  <c r="D21" i="3"/>
  <c r="C21" i="3"/>
  <c r="B21" i="3"/>
  <c r="M20" i="3"/>
  <c r="L20" i="3"/>
  <c r="K20" i="3"/>
  <c r="F20" i="3"/>
  <c r="E20" i="3"/>
  <c r="D20" i="3"/>
  <c r="C20" i="3"/>
  <c r="B20" i="3"/>
  <c r="M19" i="3"/>
  <c r="L19" i="3"/>
  <c r="K19" i="3"/>
  <c r="N19" i="3" s="1"/>
  <c r="F19" i="3"/>
  <c r="E19" i="3"/>
  <c r="D19" i="3"/>
  <c r="C19" i="3"/>
  <c r="B19" i="3"/>
  <c r="M18" i="3"/>
  <c r="L18" i="3"/>
  <c r="K18" i="3"/>
  <c r="O18" i="3" s="1"/>
  <c r="F18" i="3"/>
  <c r="E18" i="3"/>
  <c r="D18" i="3"/>
  <c r="C18" i="3"/>
  <c r="B18" i="3"/>
  <c r="M17" i="3"/>
  <c r="L17" i="3"/>
  <c r="K17" i="3"/>
  <c r="F17" i="3"/>
  <c r="E17" i="3"/>
  <c r="D17" i="3"/>
  <c r="C17" i="3"/>
  <c r="B17" i="3"/>
  <c r="M16" i="3"/>
  <c r="L16" i="3"/>
  <c r="K16" i="3"/>
  <c r="F16" i="3"/>
  <c r="E16" i="3"/>
  <c r="D16" i="3"/>
  <c r="C16" i="3"/>
  <c r="B16" i="3"/>
  <c r="M15" i="3"/>
  <c r="L15" i="3"/>
  <c r="K15" i="3"/>
  <c r="F15" i="3"/>
  <c r="E15" i="3"/>
  <c r="D15" i="3"/>
  <c r="C15" i="3"/>
  <c r="B15" i="3"/>
  <c r="M14" i="3"/>
  <c r="L14" i="3"/>
  <c r="K14" i="3"/>
  <c r="F14" i="3"/>
  <c r="E14" i="3"/>
  <c r="D14" i="3"/>
  <c r="C14" i="3"/>
  <c r="B14" i="3"/>
  <c r="M13" i="3"/>
  <c r="P13" i="3" s="1"/>
  <c r="L13" i="3"/>
  <c r="K13" i="3"/>
  <c r="F13" i="3"/>
  <c r="E13" i="3"/>
  <c r="D13" i="3"/>
  <c r="C13" i="3"/>
  <c r="B13" i="3"/>
  <c r="M12" i="3"/>
  <c r="L12" i="3"/>
  <c r="K12" i="3"/>
  <c r="T11" i="4" s="1"/>
  <c r="F12" i="3"/>
  <c r="E12" i="3"/>
  <c r="D12" i="3"/>
  <c r="C12" i="3"/>
  <c r="B12" i="3"/>
  <c r="M11" i="3"/>
  <c r="O11" i="3" s="1"/>
  <c r="L11" i="3"/>
  <c r="K11" i="3"/>
  <c r="F11" i="3"/>
  <c r="E11" i="3"/>
  <c r="D11" i="3"/>
  <c r="C11" i="3"/>
  <c r="B11" i="3"/>
  <c r="M10" i="3"/>
  <c r="L10" i="3"/>
  <c r="K10" i="3"/>
  <c r="O10" i="3" s="1"/>
  <c r="F10" i="3"/>
  <c r="G10" i="3" s="1"/>
  <c r="E10" i="3"/>
  <c r="D10" i="3"/>
  <c r="C10" i="3"/>
  <c r="B10" i="3"/>
  <c r="M9" i="3"/>
  <c r="L9" i="3"/>
  <c r="K9" i="3"/>
  <c r="F9" i="3"/>
  <c r="E9" i="3"/>
  <c r="D9" i="3"/>
  <c r="C9" i="3"/>
  <c r="B9" i="3"/>
  <c r="N8" i="3"/>
  <c r="M8" i="3"/>
  <c r="L8" i="3"/>
  <c r="K8" i="3"/>
  <c r="F8" i="3"/>
  <c r="E8" i="3"/>
  <c r="D8" i="3"/>
  <c r="C8" i="3"/>
  <c r="B8" i="3"/>
  <c r="M7" i="3"/>
  <c r="L7" i="3"/>
  <c r="K7" i="3"/>
  <c r="F7" i="3"/>
  <c r="G7" i="3" s="1"/>
  <c r="E7" i="3"/>
  <c r="D7" i="3"/>
  <c r="C7" i="3"/>
  <c r="B7" i="3"/>
  <c r="M6" i="3"/>
  <c r="L6" i="3"/>
  <c r="K6" i="3"/>
  <c r="F6" i="3"/>
  <c r="E6" i="3"/>
  <c r="D6" i="3"/>
  <c r="C6" i="3"/>
  <c r="B6" i="3"/>
  <c r="M5" i="3"/>
  <c r="L5" i="3"/>
  <c r="K5" i="3"/>
  <c r="F5" i="3"/>
  <c r="E5" i="3"/>
  <c r="D5" i="3"/>
  <c r="C5" i="3"/>
  <c r="B5" i="3"/>
  <c r="M4" i="3"/>
  <c r="L4" i="3"/>
  <c r="U4" i="4" s="1"/>
  <c r="K4" i="3"/>
  <c r="T4" i="4" s="1"/>
  <c r="F4" i="3"/>
  <c r="E4" i="3"/>
  <c r="D4" i="3"/>
  <c r="C4" i="3"/>
  <c r="B4" i="3"/>
  <c r="O3" i="3"/>
  <c r="N3" i="3"/>
  <c r="M3" i="3"/>
  <c r="L3" i="3"/>
  <c r="K3" i="3"/>
  <c r="F3" i="3"/>
  <c r="E3" i="3"/>
  <c r="D3" i="3"/>
  <c r="C3" i="3"/>
  <c r="B3" i="3"/>
  <c r="M2" i="3"/>
  <c r="L2" i="3"/>
  <c r="K2" i="3"/>
  <c r="F2" i="3"/>
  <c r="G2" i="3" s="1"/>
  <c r="E2" i="3"/>
  <c r="D2" i="3"/>
  <c r="C2" i="3"/>
  <c r="B2" i="3"/>
  <c r="O74" i="2"/>
  <c r="N74" i="2"/>
  <c r="M74" i="2"/>
  <c r="L74" i="2"/>
  <c r="I74" i="2"/>
  <c r="H74" i="2"/>
  <c r="O73" i="2"/>
  <c r="N73" i="2"/>
  <c r="M73" i="2"/>
  <c r="L73" i="2"/>
  <c r="I73" i="2"/>
  <c r="H73" i="2"/>
  <c r="P73" i="2" s="1"/>
  <c r="O72" i="2"/>
  <c r="N72" i="2"/>
  <c r="M72" i="2"/>
  <c r="L72" i="2"/>
  <c r="I72" i="2"/>
  <c r="H72" i="2"/>
  <c r="P72" i="2" s="1"/>
  <c r="O71" i="2"/>
  <c r="N71" i="2"/>
  <c r="M71" i="2"/>
  <c r="L71" i="2"/>
  <c r="I71" i="2"/>
  <c r="H71" i="2"/>
  <c r="P71" i="2" s="1"/>
  <c r="P70" i="2"/>
  <c r="O70" i="2"/>
  <c r="N70" i="2"/>
  <c r="M70" i="2"/>
  <c r="L70" i="2"/>
  <c r="I70" i="2"/>
  <c r="H70" i="2"/>
  <c r="O69" i="2"/>
  <c r="N69" i="2"/>
  <c r="M69" i="2"/>
  <c r="L69" i="2"/>
  <c r="I69" i="2"/>
  <c r="H69" i="2"/>
  <c r="P69" i="2" s="1"/>
  <c r="O68" i="2"/>
  <c r="N68" i="2"/>
  <c r="M68" i="2"/>
  <c r="L68" i="2"/>
  <c r="I68" i="2"/>
  <c r="H68" i="2"/>
  <c r="P68" i="2" s="1"/>
  <c r="O67" i="2"/>
  <c r="N67" i="2"/>
  <c r="M67" i="2"/>
  <c r="L67" i="2"/>
  <c r="I67" i="2"/>
  <c r="H67" i="2"/>
  <c r="P67" i="2" s="1"/>
  <c r="O66" i="2"/>
  <c r="N66" i="2"/>
  <c r="M66" i="2"/>
  <c r="L66" i="2"/>
  <c r="I66" i="2"/>
  <c r="H66" i="2"/>
  <c r="P66" i="2" s="1"/>
  <c r="O65" i="2"/>
  <c r="N65" i="2"/>
  <c r="M65" i="2"/>
  <c r="L65" i="2"/>
  <c r="I65" i="2"/>
  <c r="H65" i="2"/>
  <c r="O64" i="2"/>
  <c r="N64" i="2"/>
  <c r="M64" i="2"/>
  <c r="L64" i="2"/>
  <c r="I64" i="2"/>
  <c r="H64" i="2"/>
  <c r="O63" i="2"/>
  <c r="N63" i="2"/>
  <c r="M63" i="2"/>
  <c r="L63" i="2"/>
  <c r="I63" i="2"/>
  <c r="H63" i="2"/>
  <c r="P63" i="2" s="1"/>
  <c r="O62" i="2"/>
  <c r="N62" i="2"/>
  <c r="M62" i="2"/>
  <c r="L62" i="2"/>
  <c r="I62" i="2"/>
  <c r="H62" i="2"/>
  <c r="P62" i="2" s="1"/>
  <c r="O61" i="2"/>
  <c r="N61" i="2"/>
  <c r="M61" i="2"/>
  <c r="L61" i="2"/>
  <c r="I61" i="2"/>
  <c r="H61" i="2"/>
  <c r="P61" i="2" s="1"/>
  <c r="O60" i="2"/>
  <c r="N60" i="2"/>
  <c r="M60" i="2"/>
  <c r="L60" i="2"/>
  <c r="I60" i="2"/>
  <c r="H60" i="2"/>
  <c r="P60" i="2" s="1"/>
  <c r="O59" i="2"/>
  <c r="N59" i="2"/>
  <c r="M59" i="2"/>
  <c r="L59" i="2"/>
  <c r="I59" i="2"/>
  <c r="H59" i="2"/>
  <c r="O58" i="2"/>
  <c r="N58" i="2"/>
  <c r="M58" i="2"/>
  <c r="L58" i="2"/>
  <c r="I58" i="2"/>
  <c r="H58" i="2"/>
  <c r="O57" i="2"/>
  <c r="N57" i="2"/>
  <c r="M57" i="2"/>
  <c r="L57" i="2"/>
  <c r="I57" i="2"/>
  <c r="H57" i="2"/>
  <c r="P57" i="2" s="1"/>
  <c r="O56" i="2"/>
  <c r="N56" i="2"/>
  <c r="M56" i="2"/>
  <c r="L56" i="2"/>
  <c r="I56" i="2"/>
  <c r="H56" i="2"/>
  <c r="P56" i="2" s="1"/>
  <c r="O55" i="2"/>
  <c r="N55" i="2"/>
  <c r="M55" i="2"/>
  <c r="L55" i="2"/>
  <c r="I55" i="2"/>
  <c r="H55" i="2"/>
  <c r="P55" i="2" s="1"/>
  <c r="O54" i="2"/>
  <c r="N54" i="2"/>
  <c r="M54" i="2"/>
  <c r="L54" i="2"/>
  <c r="I54" i="2"/>
  <c r="H54" i="2"/>
  <c r="P54" i="2" s="1"/>
  <c r="P53" i="2"/>
  <c r="O53" i="2"/>
  <c r="N53" i="2"/>
  <c r="M53" i="2"/>
  <c r="L53" i="2"/>
  <c r="I53" i="2"/>
  <c r="H53" i="2"/>
  <c r="O52" i="2"/>
  <c r="N52" i="2"/>
  <c r="M52" i="2"/>
  <c r="L52" i="2"/>
  <c r="I52" i="2"/>
  <c r="H52" i="2"/>
  <c r="P52" i="2" s="1"/>
  <c r="O51" i="2"/>
  <c r="N51" i="2"/>
  <c r="M51" i="2"/>
  <c r="L51" i="2"/>
  <c r="I51" i="2"/>
  <c r="H51" i="2"/>
  <c r="P51" i="2" s="1"/>
  <c r="O50" i="2"/>
  <c r="N50" i="2"/>
  <c r="M50" i="2"/>
  <c r="L50" i="2"/>
  <c r="I50" i="2"/>
  <c r="H50" i="2"/>
  <c r="P50" i="2" s="1"/>
  <c r="O49" i="2"/>
  <c r="N49" i="2"/>
  <c r="M49" i="2"/>
  <c r="L49" i="2"/>
  <c r="I49" i="2"/>
  <c r="H49" i="2"/>
  <c r="O48" i="2"/>
  <c r="N48" i="2"/>
  <c r="M48" i="2"/>
  <c r="L48" i="2"/>
  <c r="I48" i="2"/>
  <c r="H48" i="2"/>
  <c r="O47" i="2"/>
  <c r="N47" i="2"/>
  <c r="M47" i="2"/>
  <c r="L47" i="2"/>
  <c r="I47" i="2"/>
  <c r="H47" i="2"/>
  <c r="P47" i="2" s="1"/>
  <c r="O46" i="2"/>
  <c r="N46" i="2"/>
  <c r="M46" i="2"/>
  <c r="L46" i="2"/>
  <c r="I46" i="2"/>
  <c r="H46" i="2"/>
  <c r="P46" i="2" s="1"/>
  <c r="O45" i="2"/>
  <c r="N45" i="2"/>
  <c r="M45" i="2"/>
  <c r="L45" i="2"/>
  <c r="I45" i="2"/>
  <c r="H45" i="2"/>
  <c r="P45" i="2" s="1"/>
  <c r="P44" i="2"/>
  <c r="O44" i="2"/>
  <c r="N44" i="2"/>
  <c r="M44" i="2"/>
  <c r="L44" i="2"/>
  <c r="I44" i="2"/>
  <c r="H44" i="2"/>
  <c r="O43" i="2"/>
  <c r="N43" i="2"/>
  <c r="M43" i="2"/>
  <c r="L43" i="2"/>
  <c r="I43" i="2"/>
  <c r="H43" i="2"/>
  <c r="O42" i="2"/>
  <c r="N42" i="2"/>
  <c r="M42" i="2"/>
  <c r="L42" i="2"/>
  <c r="I42" i="2"/>
  <c r="H42" i="2"/>
  <c r="O41" i="2"/>
  <c r="N41" i="2"/>
  <c r="M41" i="2"/>
  <c r="L41" i="2"/>
  <c r="I41" i="2"/>
  <c r="H41" i="2"/>
  <c r="P41" i="2" s="1"/>
  <c r="O40" i="2"/>
  <c r="N40" i="2"/>
  <c r="M40" i="2"/>
  <c r="L40" i="2"/>
  <c r="I40" i="2"/>
  <c r="H40" i="2"/>
  <c r="P40" i="2" s="1"/>
  <c r="O39" i="2"/>
  <c r="N39" i="2"/>
  <c r="M39" i="2"/>
  <c r="L39" i="2"/>
  <c r="I39" i="2"/>
  <c r="H39" i="2"/>
  <c r="P39" i="2" s="1"/>
  <c r="O38" i="2"/>
  <c r="N38" i="2"/>
  <c r="M38" i="2"/>
  <c r="L38" i="2"/>
  <c r="I38" i="2"/>
  <c r="H38" i="2"/>
  <c r="P38" i="2" s="1"/>
  <c r="O37" i="2"/>
  <c r="N37" i="2"/>
  <c r="M37" i="2"/>
  <c r="L37" i="2"/>
  <c r="I37" i="2"/>
  <c r="H37" i="2"/>
  <c r="P37" i="2" s="1"/>
  <c r="O36" i="2"/>
  <c r="N36" i="2"/>
  <c r="M36" i="2"/>
  <c r="L36" i="2"/>
  <c r="I36" i="2"/>
  <c r="H36" i="2"/>
  <c r="P36" i="2" s="1"/>
  <c r="O35" i="2"/>
  <c r="N35" i="2"/>
  <c r="M35" i="2"/>
  <c r="L35" i="2"/>
  <c r="I35" i="2"/>
  <c r="H35" i="2"/>
  <c r="P35" i="2" s="1"/>
  <c r="O34" i="2"/>
  <c r="N34" i="2"/>
  <c r="M34" i="2"/>
  <c r="L34" i="2"/>
  <c r="I34" i="2"/>
  <c r="H34" i="2"/>
  <c r="P34" i="2" s="1"/>
  <c r="O33" i="2"/>
  <c r="N33" i="2"/>
  <c r="M33" i="2"/>
  <c r="L33" i="2"/>
  <c r="I33" i="2"/>
  <c r="H33" i="2"/>
  <c r="O32" i="2"/>
  <c r="N32" i="2"/>
  <c r="M32" i="2"/>
  <c r="L32" i="2"/>
  <c r="I32" i="2"/>
  <c r="H32" i="2"/>
  <c r="O31" i="2"/>
  <c r="N31" i="2"/>
  <c r="M31" i="2"/>
  <c r="L31" i="2"/>
  <c r="I31" i="2"/>
  <c r="H31" i="2"/>
  <c r="P31" i="2" s="1"/>
  <c r="O30" i="2"/>
  <c r="N30" i="2"/>
  <c r="M30" i="2"/>
  <c r="L30" i="2"/>
  <c r="I30" i="2"/>
  <c r="H30" i="2"/>
  <c r="P30" i="2" s="1"/>
  <c r="O29" i="2"/>
  <c r="N29" i="2"/>
  <c r="M29" i="2"/>
  <c r="L29" i="2"/>
  <c r="I29" i="2"/>
  <c r="H29" i="2"/>
  <c r="P29" i="2" s="1"/>
  <c r="O28" i="2"/>
  <c r="N28" i="2"/>
  <c r="M28" i="2"/>
  <c r="L28" i="2"/>
  <c r="I28" i="2"/>
  <c r="H28" i="2"/>
  <c r="P28" i="2" s="1"/>
  <c r="O27" i="2"/>
  <c r="N27" i="2"/>
  <c r="M27" i="2"/>
  <c r="L27" i="2"/>
  <c r="I27" i="2"/>
  <c r="H27" i="2"/>
  <c r="O26" i="2"/>
  <c r="N26" i="2"/>
  <c r="M26" i="2"/>
  <c r="L26" i="2"/>
  <c r="I26" i="2"/>
  <c r="H26" i="2"/>
  <c r="O25" i="2"/>
  <c r="N25" i="2"/>
  <c r="M25" i="2"/>
  <c r="L25" i="2"/>
  <c r="I25" i="2"/>
  <c r="H25" i="2"/>
  <c r="P25" i="2" s="1"/>
  <c r="O24" i="2"/>
  <c r="N24" i="2"/>
  <c r="M24" i="2"/>
  <c r="L24" i="2"/>
  <c r="I24" i="2"/>
  <c r="H24" i="2"/>
  <c r="P24" i="2" s="1"/>
  <c r="O23" i="2"/>
  <c r="N23" i="2"/>
  <c r="M23" i="2"/>
  <c r="L23" i="2"/>
  <c r="I23" i="2"/>
  <c r="H23" i="2"/>
  <c r="P23" i="2" s="1"/>
  <c r="O22" i="2"/>
  <c r="N22" i="2"/>
  <c r="M22" i="2"/>
  <c r="L22" i="2"/>
  <c r="I22" i="2"/>
  <c r="H22" i="2"/>
  <c r="P22" i="2" s="1"/>
  <c r="O21" i="2"/>
  <c r="N21" i="2"/>
  <c r="M21" i="2"/>
  <c r="L21" i="2"/>
  <c r="I21" i="2"/>
  <c r="H21" i="2"/>
  <c r="P21" i="2" s="1"/>
  <c r="P20" i="2"/>
  <c r="O20" i="2"/>
  <c r="N20" i="2"/>
  <c r="M20" i="2"/>
  <c r="L20" i="2"/>
  <c r="I20" i="2"/>
  <c r="H20" i="2"/>
  <c r="O19" i="2"/>
  <c r="N19" i="2"/>
  <c r="M19" i="2"/>
  <c r="L19" i="2"/>
  <c r="I19" i="2"/>
  <c r="H19" i="2"/>
  <c r="P19" i="2" s="1"/>
  <c r="O18" i="2"/>
  <c r="N18" i="2"/>
  <c r="M18" i="2"/>
  <c r="L18" i="2"/>
  <c r="I18" i="2"/>
  <c r="H18" i="2"/>
  <c r="P18" i="2" s="1"/>
  <c r="O17" i="2"/>
  <c r="N17" i="2"/>
  <c r="M17" i="2"/>
  <c r="L17" i="2"/>
  <c r="I17" i="2"/>
  <c r="H17" i="2"/>
  <c r="O16" i="2"/>
  <c r="N16" i="2"/>
  <c r="M16" i="2"/>
  <c r="L16" i="2"/>
  <c r="I16" i="2"/>
  <c r="H16" i="2"/>
  <c r="P15" i="2"/>
  <c r="O15" i="2"/>
  <c r="N15" i="2"/>
  <c r="M15" i="2"/>
  <c r="L15" i="2"/>
  <c r="I15" i="2"/>
  <c r="H15" i="2"/>
  <c r="O14" i="2"/>
  <c r="N14" i="2"/>
  <c r="M14" i="2"/>
  <c r="L14" i="2"/>
  <c r="I14" i="2"/>
  <c r="H14" i="2"/>
  <c r="P13" i="2"/>
  <c r="O13" i="2"/>
  <c r="N13" i="2"/>
  <c r="M13" i="2"/>
  <c r="L13" i="2"/>
  <c r="I13" i="2"/>
  <c r="H13" i="2"/>
  <c r="O12" i="2"/>
  <c r="N12" i="2"/>
  <c r="M12" i="2"/>
  <c r="L12" i="2"/>
  <c r="P12" i="2" s="1"/>
  <c r="I12" i="2"/>
  <c r="H12" i="2"/>
  <c r="O11" i="2"/>
  <c r="N11" i="2"/>
  <c r="M11" i="2"/>
  <c r="L11" i="2"/>
  <c r="I11" i="2"/>
  <c r="H11" i="2"/>
  <c r="O10" i="2"/>
  <c r="N10" i="2"/>
  <c r="M10" i="2"/>
  <c r="L10" i="2"/>
  <c r="I10" i="2"/>
  <c r="H10" i="2"/>
  <c r="O9" i="2"/>
  <c r="N9" i="2"/>
  <c r="M9" i="2"/>
  <c r="L9" i="2"/>
  <c r="I9" i="2"/>
  <c r="H9" i="2"/>
  <c r="O8" i="2"/>
  <c r="N8" i="2"/>
  <c r="M8" i="2"/>
  <c r="L8" i="2"/>
  <c r="I8" i="2"/>
  <c r="H8" i="2"/>
  <c r="P8" i="2" s="1"/>
  <c r="O7" i="2"/>
  <c r="N7" i="2"/>
  <c r="B7" i="7" s="1"/>
  <c r="B8" i="7" s="1"/>
  <c r="M7" i="2"/>
  <c r="L7" i="2"/>
  <c r="I7" i="2"/>
  <c r="H7" i="2"/>
  <c r="P7" i="2" s="1"/>
  <c r="O6" i="2"/>
  <c r="N6" i="2"/>
  <c r="M6" i="2"/>
  <c r="L6" i="2"/>
  <c r="P6" i="2" s="1"/>
  <c r="I6" i="2"/>
  <c r="H6" i="2"/>
  <c r="O5" i="2"/>
  <c r="N5" i="2"/>
  <c r="M5" i="2"/>
  <c r="L5" i="2"/>
  <c r="I5" i="2"/>
  <c r="H5" i="2"/>
  <c r="O4" i="2"/>
  <c r="N4" i="2"/>
  <c r="M4" i="2"/>
  <c r="L4" i="2"/>
  <c r="P4" i="2" s="1"/>
  <c r="I4" i="2"/>
  <c r="H4" i="2"/>
  <c r="O3" i="2"/>
  <c r="N3" i="2"/>
  <c r="M3" i="2"/>
  <c r="L3" i="2"/>
  <c r="I3" i="2"/>
  <c r="H3" i="2"/>
  <c r="N24" i="3" l="1"/>
  <c r="O24" i="3"/>
  <c r="P25" i="3"/>
  <c r="P14" i="2"/>
  <c r="P22" i="3"/>
  <c r="P23" i="3"/>
  <c r="N22" i="3"/>
  <c r="P20" i="3"/>
  <c r="P21" i="3"/>
  <c r="P19" i="3"/>
  <c r="O19" i="3"/>
  <c r="P18" i="3"/>
  <c r="N18" i="3"/>
  <c r="Q18" i="3" s="1"/>
  <c r="P16" i="3"/>
  <c r="S17" i="4" s="1"/>
  <c r="N16" i="3"/>
  <c r="O16" i="3"/>
  <c r="P17" i="3"/>
  <c r="S18" i="4" s="1"/>
  <c r="P9" i="2"/>
  <c r="P14" i="3"/>
  <c r="N14" i="3"/>
  <c r="P15" i="3"/>
  <c r="P12" i="3"/>
  <c r="N11" i="3"/>
  <c r="P10" i="3"/>
  <c r="N10" i="3"/>
  <c r="Q10" i="3" s="1"/>
  <c r="P11" i="3"/>
  <c r="P8" i="3"/>
  <c r="O8" i="3"/>
  <c r="P9" i="3"/>
  <c r="N6" i="3"/>
  <c r="T7" i="4"/>
  <c r="P5" i="2"/>
  <c r="P6" i="3"/>
  <c r="P5" i="3"/>
  <c r="O4" i="3"/>
  <c r="R4" i="4" s="1"/>
  <c r="U23" i="6"/>
  <c r="P3" i="3"/>
  <c r="U20" i="6"/>
  <c r="V4" i="4"/>
  <c r="P3" i="2"/>
  <c r="O2" i="3"/>
  <c r="I144" i="3"/>
  <c r="J144" i="3"/>
  <c r="I142" i="3"/>
  <c r="G143" i="3"/>
  <c r="H142" i="3"/>
  <c r="G142" i="3"/>
  <c r="G140" i="3"/>
  <c r="H137" i="3"/>
  <c r="H136" i="3"/>
  <c r="G136" i="3"/>
  <c r="J136" i="3" s="1"/>
  <c r="G137" i="3"/>
  <c r="I135" i="3"/>
  <c r="H134" i="3"/>
  <c r="G134" i="3"/>
  <c r="G135" i="3"/>
  <c r="H135" i="3"/>
  <c r="H131" i="3"/>
  <c r="G131" i="3"/>
  <c r="J131" i="3" s="1"/>
  <c r="I131" i="3"/>
  <c r="J130" i="3"/>
  <c r="I129" i="3"/>
  <c r="H129" i="3"/>
  <c r="I127" i="3"/>
  <c r="H126" i="3"/>
  <c r="G126" i="3"/>
  <c r="G127" i="3"/>
  <c r="J127" i="3" s="1"/>
  <c r="I125" i="3"/>
  <c r="H125" i="3"/>
  <c r="I123" i="3"/>
  <c r="H122" i="3"/>
  <c r="I122" i="3"/>
  <c r="G123" i="3"/>
  <c r="H123" i="3"/>
  <c r="G121" i="3"/>
  <c r="H119" i="3"/>
  <c r="I118" i="3"/>
  <c r="G118" i="3"/>
  <c r="H118" i="3"/>
  <c r="G119" i="3"/>
  <c r="J119" i="3" s="1"/>
  <c r="I114" i="3"/>
  <c r="G114" i="3"/>
  <c r="J114" i="3" s="1"/>
  <c r="J115" i="3"/>
  <c r="I113" i="3"/>
  <c r="G110" i="3"/>
  <c r="H110" i="3"/>
  <c r="H111" i="3"/>
  <c r="G111" i="3"/>
  <c r="J111" i="3" s="1"/>
  <c r="H109" i="3"/>
  <c r="G109" i="3"/>
  <c r="J109" i="3" s="1"/>
  <c r="I109" i="3"/>
  <c r="I106" i="3"/>
  <c r="G106" i="3"/>
  <c r="H106" i="3"/>
  <c r="G107" i="3"/>
  <c r="J107" i="3"/>
  <c r="I107" i="3"/>
  <c r="G105" i="3"/>
  <c r="I103" i="3"/>
  <c r="G102" i="3"/>
  <c r="H102" i="3"/>
  <c r="H103" i="3"/>
  <c r="J103" i="3" s="1"/>
  <c r="H98" i="3"/>
  <c r="G99" i="3"/>
  <c r="G98" i="3"/>
  <c r="J98" i="3" s="1"/>
  <c r="I98" i="3"/>
  <c r="H97" i="3"/>
  <c r="I97" i="3"/>
  <c r="H94" i="3"/>
  <c r="I94" i="3"/>
  <c r="G95" i="3"/>
  <c r="H95" i="3"/>
  <c r="J95" i="3"/>
  <c r="I95" i="3"/>
  <c r="G92" i="3"/>
  <c r="G90" i="3"/>
  <c r="J90" i="3"/>
  <c r="I88" i="3"/>
  <c r="G86" i="3"/>
  <c r="J86" i="3" s="1"/>
  <c r="I86" i="3"/>
  <c r="G87" i="3"/>
  <c r="H87" i="3"/>
  <c r="J87" i="3"/>
  <c r="G84" i="3"/>
  <c r="J84" i="3" s="1"/>
  <c r="I83" i="3"/>
  <c r="G83" i="3"/>
  <c r="H83" i="3"/>
  <c r="J83" i="3" s="1"/>
  <c r="I82" i="3"/>
  <c r="H82" i="3"/>
  <c r="G82" i="3"/>
  <c r="J82" i="3" s="1"/>
  <c r="H78" i="3"/>
  <c r="G78" i="3"/>
  <c r="J78" i="3" s="1"/>
  <c r="I78" i="3"/>
  <c r="H76" i="3"/>
  <c r="G74" i="3"/>
  <c r="J74" i="3" s="1"/>
  <c r="I74" i="3"/>
  <c r="G75" i="3"/>
  <c r="H75" i="3"/>
  <c r="I73" i="3"/>
  <c r="G72" i="3"/>
  <c r="I70" i="3"/>
  <c r="G70" i="3"/>
  <c r="H70" i="3"/>
  <c r="H69" i="3"/>
  <c r="H66" i="3"/>
  <c r="H67" i="3"/>
  <c r="G66" i="3"/>
  <c r="I67" i="3"/>
  <c r="G67" i="3"/>
  <c r="I65" i="3"/>
  <c r="I64" i="3"/>
  <c r="H64" i="3"/>
  <c r="G64" i="3"/>
  <c r="J65" i="3"/>
  <c r="I62" i="3"/>
  <c r="G62" i="3"/>
  <c r="D11" i="4" s="1"/>
  <c r="G61" i="3"/>
  <c r="I58" i="3"/>
  <c r="G58" i="3"/>
  <c r="I59" i="3"/>
  <c r="H58" i="3"/>
  <c r="I56" i="3"/>
  <c r="H56" i="3"/>
  <c r="G57" i="3"/>
  <c r="I57" i="3"/>
  <c r="J56" i="3"/>
  <c r="I52" i="3"/>
  <c r="H53" i="3"/>
  <c r="G52" i="3"/>
  <c r="J52" i="3" s="1"/>
  <c r="J50" i="3"/>
  <c r="I49" i="3"/>
  <c r="G49" i="3"/>
  <c r="H49" i="3"/>
  <c r="G34" i="3"/>
  <c r="G32" i="3"/>
  <c r="G31" i="3"/>
  <c r="G30" i="3"/>
  <c r="G28" i="3"/>
  <c r="G23" i="3"/>
  <c r="G22" i="3"/>
  <c r="G20" i="3"/>
  <c r="G18" i="3"/>
  <c r="G15" i="3"/>
  <c r="G14" i="3"/>
  <c r="G12" i="3"/>
  <c r="G8" i="3"/>
  <c r="G6" i="3"/>
  <c r="U15" i="6"/>
  <c r="U14" i="6"/>
  <c r="G27" i="6"/>
  <c r="G4" i="3"/>
  <c r="D4" i="4" s="1"/>
  <c r="G5" i="3"/>
  <c r="D6" i="4" s="1"/>
  <c r="U29" i="6"/>
  <c r="U12" i="6"/>
  <c r="F26" i="6"/>
  <c r="L26" i="6" s="1"/>
  <c r="U30" i="6"/>
  <c r="N31" i="6"/>
  <c r="U21" i="6"/>
  <c r="U32" i="6"/>
  <c r="B11" i="7"/>
  <c r="U28" i="6"/>
  <c r="U6" i="6"/>
  <c r="U4" i="6"/>
  <c r="U11" i="6"/>
  <c r="U13" i="6"/>
  <c r="F28" i="6"/>
  <c r="U7" i="6"/>
  <c r="G19" i="6"/>
  <c r="K19" i="6" s="1"/>
  <c r="F27" i="6" s="1"/>
  <c r="K27" i="6" s="1"/>
  <c r="F31" i="6" s="1"/>
  <c r="K31" i="6" s="1"/>
  <c r="U31" i="6" s="1"/>
  <c r="U3" i="6"/>
  <c r="G32" i="6"/>
  <c r="L32" i="6" s="1"/>
  <c r="G33" i="6" s="1"/>
  <c r="K33" i="6" s="1"/>
  <c r="B15" i="7" s="1"/>
  <c r="I21" i="3"/>
  <c r="F24" i="4" s="1"/>
  <c r="H21" i="3"/>
  <c r="E24" i="4" s="1"/>
  <c r="I29" i="3"/>
  <c r="H29" i="3"/>
  <c r="O39" i="3"/>
  <c r="P39" i="3"/>
  <c r="O14" i="3"/>
  <c r="G21" i="3"/>
  <c r="D24" i="4" s="1"/>
  <c r="I24" i="3"/>
  <c r="H24" i="3"/>
  <c r="O30" i="3"/>
  <c r="Q30" i="3" s="1"/>
  <c r="N39" i="3"/>
  <c r="I48" i="3"/>
  <c r="H48" i="3"/>
  <c r="I60" i="3"/>
  <c r="H60" i="3"/>
  <c r="G60" i="3"/>
  <c r="G77" i="3"/>
  <c r="J77" i="3" s="1"/>
  <c r="I77" i="3"/>
  <c r="H77" i="3"/>
  <c r="O85" i="3"/>
  <c r="P101" i="3"/>
  <c r="O15" i="3"/>
  <c r="O23" i="3"/>
  <c r="O31" i="3"/>
  <c r="O35" i="3"/>
  <c r="P35" i="3"/>
  <c r="I38" i="3"/>
  <c r="H38" i="3"/>
  <c r="E39" i="4" s="1"/>
  <c r="G38" i="3"/>
  <c r="P53" i="3"/>
  <c r="N53" i="3"/>
  <c r="Q53" i="3" s="1"/>
  <c r="O53" i="3"/>
  <c r="O54" i="3"/>
  <c r="P54" i="3"/>
  <c r="O76" i="3"/>
  <c r="P76" i="3"/>
  <c r="N76" i="3"/>
  <c r="O5" i="3"/>
  <c r="I7" i="3"/>
  <c r="H7" i="3"/>
  <c r="Q8" i="3"/>
  <c r="O13" i="3"/>
  <c r="I15" i="3"/>
  <c r="F13" i="4" s="1"/>
  <c r="H15" i="3"/>
  <c r="J15" i="3" s="1"/>
  <c r="Q16" i="3"/>
  <c r="O21" i="3"/>
  <c r="I23" i="3"/>
  <c r="H23" i="3"/>
  <c r="E20" i="4" s="1"/>
  <c r="O29" i="3"/>
  <c r="I31" i="3"/>
  <c r="H31" i="3"/>
  <c r="J31" i="3" s="1"/>
  <c r="Q32" i="3"/>
  <c r="O37" i="3"/>
  <c r="P37" i="3"/>
  <c r="I40" i="3"/>
  <c r="H40" i="3"/>
  <c r="G40" i="3"/>
  <c r="P44" i="3"/>
  <c r="O44" i="3"/>
  <c r="I46" i="3"/>
  <c r="F50" i="4" s="1"/>
  <c r="H46" i="3"/>
  <c r="G46" i="3"/>
  <c r="J46" i="3" s="1"/>
  <c r="Q48" i="3"/>
  <c r="J49" i="3"/>
  <c r="I61" i="3"/>
  <c r="Q63" i="3"/>
  <c r="J64" i="3"/>
  <c r="I2" i="3"/>
  <c r="H2" i="3"/>
  <c r="J2" i="3" s="1"/>
  <c r="J3" i="4" s="1"/>
  <c r="Q3" i="3"/>
  <c r="J7" i="3"/>
  <c r="I10" i="3"/>
  <c r="H10" i="3"/>
  <c r="J10" i="3" s="1"/>
  <c r="Q11" i="3"/>
  <c r="I18" i="3"/>
  <c r="H18" i="3"/>
  <c r="Q19" i="3"/>
  <c r="W22" i="4" s="1"/>
  <c r="I26" i="3"/>
  <c r="F31" i="4" s="1"/>
  <c r="H26" i="3"/>
  <c r="J26" i="3" s="1"/>
  <c r="Q27" i="3"/>
  <c r="I34" i="3"/>
  <c r="H34" i="3"/>
  <c r="J34" i="3" s="1"/>
  <c r="Q37" i="3"/>
  <c r="P38" i="3"/>
  <c r="O38" i="3"/>
  <c r="I41" i="3"/>
  <c r="G41" i="3"/>
  <c r="H41" i="3"/>
  <c r="Q44" i="3"/>
  <c r="I47" i="3"/>
  <c r="G47" i="3"/>
  <c r="D49" i="4" s="1"/>
  <c r="H47" i="3"/>
  <c r="E49" i="4" s="1"/>
  <c r="O68" i="3"/>
  <c r="Q68" i="3" s="1"/>
  <c r="P68" i="3"/>
  <c r="Q71" i="3"/>
  <c r="P87" i="3"/>
  <c r="O87" i="3"/>
  <c r="N87" i="3"/>
  <c r="Q87" i="3" s="1"/>
  <c r="P88" i="3"/>
  <c r="O88" i="3"/>
  <c r="I80" i="3"/>
  <c r="H80" i="3"/>
  <c r="G80" i="3"/>
  <c r="J80" i="3" s="1"/>
  <c r="N85" i="3"/>
  <c r="N88" i="3"/>
  <c r="Q88" i="3" s="1"/>
  <c r="N91" i="3"/>
  <c r="Q91" i="3" s="1"/>
  <c r="P91" i="3"/>
  <c r="O91" i="3"/>
  <c r="N97" i="3"/>
  <c r="Q97" i="3" s="1"/>
  <c r="P97" i="3"/>
  <c r="O97" i="3"/>
  <c r="O101" i="3"/>
  <c r="Q101" i="3" s="1"/>
  <c r="W9" i="4" s="1"/>
  <c r="N103" i="3"/>
  <c r="P103" i="3"/>
  <c r="O103" i="3"/>
  <c r="N104" i="3"/>
  <c r="P104" i="3"/>
  <c r="O104" i="3"/>
  <c r="I112" i="3"/>
  <c r="H112" i="3"/>
  <c r="G112" i="3"/>
  <c r="D22" i="4" s="1"/>
  <c r="I132" i="3"/>
  <c r="H132" i="3"/>
  <c r="G132" i="3"/>
  <c r="I133" i="3"/>
  <c r="F27" i="4" s="1"/>
  <c r="H133" i="3"/>
  <c r="G133" i="3"/>
  <c r="D27" i="4" s="1"/>
  <c r="I5" i="3"/>
  <c r="F6" i="4" s="1"/>
  <c r="H5" i="3"/>
  <c r="E6" i="4" s="1"/>
  <c r="I13" i="3"/>
  <c r="H13" i="3"/>
  <c r="O6" i="3"/>
  <c r="I16" i="3"/>
  <c r="H16" i="3"/>
  <c r="N25" i="3"/>
  <c r="I35" i="3"/>
  <c r="G35" i="3"/>
  <c r="D36" i="4" s="1"/>
  <c r="H35" i="3"/>
  <c r="I3" i="3"/>
  <c r="H3" i="3"/>
  <c r="N4" i="3"/>
  <c r="Q4" i="4" s="1"/>
  <c r="P7" i="3"/>
  <c r="O9" i="3"/>
  <c r="R16" i="4" s="1"/>
  <c r="I11" i="3"/>
  <c r="H11" i="3"/>
  <c r="N12" i="3"/>
  <c r="G16" i="3"/>
  <c r="O17" i="3"/>
  <c r="I19" i="3"/>
  <c r="H19" i="3"/>
  <c r="N20" i="3"/>
  <c r="G24" i="3"/>
  <c r="J24" i="3" s="1"/>
  <c r="O25" i="3"/>
  <c r="I27" i="3"/>
  <c r="H27" i="3"/>
  <c r="N28" i="3"/>
  <c r="O33" i="3"/>
  <c r="I36" i="3"/>
  <c r="G36" i="3"/>
  <c r="H36" i="3"/>
  <c r="P41" i="3"/>
  <c r="O41" i="3"/>
  <c r="I43" i="3"/>
  <c r="H43" i="3"/>
  <c r="G43" i="3"/>
  <c r="G48" i="3"/>
  <c r="J48" i="3" s="1"/>
  <c r="I55" i="3"/>
  <c r="H55" i="3"/>
  <c r="I63" i="3"/>
  <c r="G63" i="3"/>
  <c r="H63" i="3"/>
  <c r="G73" i="3"/>
  <c r="P79" i="3"/>
  <c r="O79" i="3"/>
  <c r="I81" i="3"/>
  <c r="F29" i="4" s="1"/>
  <c r="H81" i="3"/>
  <c r="E29" i="4" s="1"/>
  <c r="P89" i="3"/>
  <c r="N107" i="3"/>
  <c r="Q107" i="3" s="1"/>
  <c r="P107" i="3"/>
  <c r="O107" i="3"/>
  <c r="P11" i="2"/>
  <c r="P17" i="2"/>
  <c r="P27" i="2"/>
  <c r="P33" i="2"/>
  <c r="P43" i="2"/>
  <c r="P49" i="2"/>
  <c r="P59" i="2"/>
  <c r="P65" i="2"/>
  <c r="P2" i="3"/>
  <c r="S3" i="4" s="1"/>
  <c r="G3" i="3"/>
  <c r="I6" i="3"/>
  <c r="H6" i="3"/>
  <c r="J6" i="3" s="1"/>
  <c r="N7" i="3"/>
  <c r="G11" i="3"/>
  <c r="O12" i="3"/>
  <c r="R11" i="4" s="1"/>
  <c r="I14" i="3"/>
  <c r="H14" i="3"/>
  <c r="J14" i="3" s="1"/>
  <c r="N15" i="3"/>
  <c r="Q13" i="4" s="1"/>
  <c r="G19" i="3"/>
  <c r="J19" i="3" s="1"/>
  <c r="O20" i="3"/>
  <c r="I22" i="3"/>
  <c r="H22" i="3"/>
  <c r="J22" i="3" s="1"/>
  <c r="N23" i="3"/>
  <c r="G27" i="3"/>
  <c r="O28" i="3"/>
  <c r="I30" i="3"/>
  <c r="F33" i="4" s="1"/>
  <c r="H30" i="3"/>
  <c r="J30" i="3" s="1"/>
  <c r="N31" i="3"/>
  <c r="Q31" i="3" s="1"/>
  <c r="P34" i="3"/>
  <c r="O34" i="3"/>
  <c r="I37" i="3"/>
  <c r="G37" i="3"/>
  <c r="D37" i="4" s="1"/>
  <c r="H37" i="3"/>
  <c r="N41" i="3"/>
  <c r="Q41" i="3" s="1"/>
  <c r="I44" i="3"/>
  <c r="F47" i="4" s="1"/>
  <c r="G44" i="3"/>
  <c r="H44" i="3"/>
  <c r="N47" i="3"/>
  <c r="G55" i="3"/>
  <c r="J55" i="3" s="1"/>
  <c r="I68" i="3"/>
  <c r="H68" i="3"/>
  <c r="E19" i="4" s="1"/>
  <c r="G68" i="3"/>
  <c r="J68" i="3" s="1"/>
  <c r="H73" i="3"/>
  <c r="N79" i="3"/>
  <c r="Q79" i="3" s="1"/>
  <c r="G81" i="3"/>
  <c r="D29" i="4" s="1"/>
  <c r="I100" i="3"/>
  <c r="H100" i="3"/>
  <c r="G100" i="3"/>
  <c r="D10" i="4" s="1"/>
  <c r="I101" i="3"/>
  <c r="F9" i="4" s="1"/>
  <c r="H101" i="3"/>
  <c r="G101" i="3"/>
  <c r="O108" i="3"/>
  <c r="Q108" i="3" s="1"/>
  <c r="N123" i="3"/>
  <c r="P123" i="3"/>
  <c r="O123" i="3"/>
  <c r="Q124" i="3"/>
  <c r="J125" i="3"/>
  <c r="Q139" i="3"/>
  <c r="J18" i="3"/>
  <c r="G13" i="3"/>
  <c r="I32" i="3"/>
  <c r="F28" i="4" s="1"/>
  <c r="H32" i="3"/>
  <c r="J32" i="3" s="1"/>
  <c r="P46" i="3"/>
  <c r="O46" i="3"/>
  <c r="Q46" i="3" s="1"/>
  <c r="I96" i="3"/>
  <c r="H96" i="3"/>
  <c r="G96" i="3"/>
  <c r="N119" i="3"/>
  <c r="Q119" i="3" s="1"/>
  <c r="P119" i="3"/>
  <c r="O119" i="3"/>
  <c r="N2" i="3"/>
  <c r="Q2" i="3" s="1"/>
  <c r="O7" i="3"/>
  <c r="I9" i="3"/>
  <c r="H9" i="3"/>
  <c r="I17" i="3"/>
  <c r="H17" i="3"/>
  <c r="I33" i="3"/>
  <c r="F30" i="4" s="1"/>
  <c r="H33" i="3"/>
  <c r="I128" i="3"/>
  <c r="F32" i="4" s="1"/>
  <c r="H128" i="3"/>
  <c r="G128" i="3"/>
  <c r="J134" i="3"/>
  <c r="Q14" i="3"/>
  <c r="W14" i="4" s="1"/>
  <c r="Q38" i="3"/>
  <c r="I42" i="3"/>
  <c r="G42" i="3"/>
  <c r="H42" i="3"/>
  <c r="O45" i="3"/>
  <c r="P45" i="3"/>
  <c r="P4" i="3"/>
  <c r="I8" i="3"/>
  <c r="H8" i="3"/>
  <c r="J8" i="3" s="1"/>
  <c r="N9" i="3"/>
  <c r="N17" i="3"/>
  <c r="Q18" i="4" s="1"/>
  <c r="O22" i="3"/>
  <c r="Q22" i="3" s="1"/>
  <c r="W21" i="4" s="1"/>
  <c r="G29" i="3"/>
  <c r="J29" i="3" s="1"/>
  <c r="N33" i="3"/>
  <c r="Q33" i="3" s="1"/>
  <c r="O40" i="3"/>
  <c r="Q40" i="3" s="1"/>
  <c r="W40" i="4" s="1"/>
  <c r="P40" i="3"/>
  <c r="N45" i="3"/>
  <c r="I54" i="3"/>
  <c r="O89" i="3"/>
  <c r="Q89" i="3" s="1"/>
  <c r="N120" i="3"/>
  <c r="P120" i="3"/>
  <c r="O120" i="3"/>
  <c r="I25" i="3"/>
  <c r="F25" i="4" s="1"/>
  <c r="H25" i="3"/>
  <c r="E25" i="4" s="1"/>
  <c r="Q34" i="3"/>
  <c r="I45" i="3"/>
  <c r="H45" i="3"/>
  <c r="O47" i="3"/>
  <c r="I92" i="3"/>
  <c r="H92" i="3"/>
  <c r="J92" i="3" s="1"/>
  <c r="I105" i="3"/>
  <c r="H105" i="3"/>
  <c r="J105" i="3" s="1"/>
  <c r="P108" i="3"/>
  <c r="I116" i="3"/>
  <c r="H116" i="3"/>
  <c r="G116" i="3"/>
  <c r="J116" i="3" s="1"/>
  <c r="I117" i="3"/>
  <c r="H117" i="3"/>
  <c r="E23" i="4" s="1"/>
  <c r="G117" i="3"/>
  <c r="D23" i="4" s="1"/>
  <c r="P10" i="2"/>
  <c r="P16" i="2"/>
  <c r="P26" i="2"/>
  <c r="P32" i="2"/>
  <c r="P42" i="2"/>
  <c r="P48" i="2"/>
  <c r="P58" i="2"/>
  <c r="P64" i="2"/>
  <c r="P74" i="2"/>
  <c r="I4" i="3"/>
  <c r="H4" i="3"/>
  <c r="N5" i="3"/>
  <c r="G9" i="3"/>
  <c r="I12" i="3"/>
  <c r="F11" i="4" s="1"/>
  <c r="H12" i="3"/>
  <c r="J12" i="3" s="1"/>
  <c r="N13" i="3"/>
  <c r="G17" i="3"/>
  <c r="J17" i="3" s="1"/>
  <c r="I20" i="3"/>
  <c r="H20" i="3"/>
  <c r="J20" i="3" s="1"/>
  <c r="N21" i="3"/>
  <c r="G25" i="3"/>
  <c r="I28" i="3"/>
  <c r="H28" i="3"/>
  <c r="J28" i="3" s="1"/>
  <c r="N29" i="3"/>
  <c r="G33" i="3"/>
  <c r="N35" i="3"/>
  <c r="Q35" i="3" s="1"/>
  <c r="P36" i="3"/>
  <c r="O36" i="3"/>
  <c r="Q36" i="3" s="1"/>
  <c r="I39" i="3"/>
  <c r="F41" i="4" s="1"/>
  <c r="H39" i="3"/>
  <c r="G39" i="3"/>
  <c r="P43" i="3"/>
  <c r="O43" i="3"/>
  <c r="Q43" i="3" s="1"/>
  <c r="W46" i="4" s="1"/>
  <c r="G45" i="3"/>
  <c r="N54" i="3"/>
  <c r="Q54" i="3" s="1"/>
  <c r="N59" i="3"/>
  <c r="O59" i="3"/>
  <c r="P59" i="3"/>
  <c r="H61" i="3"/>
  <c r="J61" i="3" s="1"/>
  <c r="P62" i="3"/>
  <c r="O62" i="3"/>
  <c r="N62" i="3"/>
  <c r="Q62" i="3" s="1"/>
  <c r="G69" i="3"/>
  <c r="J69" i="3" s="1"/>
  <c r="I69" i="3"/>
  <c r="I72" i="3"/>
  <c r="H72" i="3"/>
  <c r="J72" i="3" s="1"/>
  <c r="I89" i="3"/>
  <c r="H89" i="3"/>
  <c r="G89" i="3"/>
  <c r="I121" i="3"/>
  <c r="H121" i="3"/>
  <c r="J121" i="3" s="1"/>
  <c r="I141" i="3"/>
  <c r="F45" i="4" s="1"/>
  <c r="H141" i="3"/>
  <c r="G141" i="3"/>
  <c r="D45" i="4" s="1"/>
  <c r="J51" i="3"/>
  <c r="J57" i="3"/>
  <c r="J66" i="3"/>
  <c r="J75" i="3"/>
  <c r="I76" i="3"/>
  <c r="J93" i="3"/>
  <c r="J106" i="3"/>
  <c r="J122" i="3"/>
  <c r="T3" i="4"/>
  <c r="H10" i="4"/>
  <c r="U15" i="4"/>
  <c r="U32" i="4"/>
  <c r="I71" i="3"/>
  <c r="G85" i="3"/>
  <c r="H138" i="3"/>
  <c r="E21" i="4"/>
  <c r="N52" i="3"/>
  <c r="Q52" i="3" s="1"/>
  <c r="G54" i="3"/>
  <c r="O67" i="3"/>
  <c r="Q67" i="3" s="1"/>
  <c r="N70" i="3"/>
  <c r="G71" i="3"/>
  <c r="I79" i="3"/>
  <c r="N84" i="3"/>
  <c r="Q84" i="3" s="1"/>
  <c r="H85" i="3"/>
  <c r="G88" i="3"/>
  <c r="N99" i="3"/>
  <c r="P99" i="3"/>
  <c r="O99" i="3"/>
  <c r="Q100" i="3"/>
  <c r="I108" i="3"/>
  <c r="F5" i="4" s="1"/>
  <c r="H108" i="3"/>
  <c r="G108" i="3"/>
  <c r="J108" i="3" s="1"/>
  <c r="N115" i="3"/>
  <c r="Q115" i="3" s="1"/>
  <c r="P115" i="3"/>
  <c r="O115" i="3"/>
  <c r="I124" i="3"/>
  <c r="H124" i="3"/>
  <c r="E36" i="4" s="1"/>
  <c r="G124" i="3"/>
  <c r="N131" i="3"/>
  <c r="Q131" i="3" s="1"/>
  <c r="P131" i="3"/>
  <c r="O131" i="3"/>
  <c r="J143" i="3"/>
  <c r="H3" i="4"/>
  <c r="P9" i="4"/>
  <c r="N51" i="3"/>
  <c r="Q51" i="3" s="1"/>
  <c r="O52" i="3"/>
  <c r="G53" i="3"/>
  <c r="J53" i="3" s="1"/>
  <c r="H54" i="3"/>
  <c r="N57" i="3"/>
  <c r="Q57" i="3" s="1"/>
  <c r="G59" i="3"/>
  <c r="J59" i="3" s="1"/>
  <c r="H62" i="3"/>
  <c r="P67" i="3"/>
  <c r="S26" i="4" s="1"/>
  <c r="O70" i="3"/>
  <c r="H71" i="3"/>
  <c r="E22" i="4" s="1"/>
  <c r="O75" i="3"/>
  <c r="Q75" i="3" s="1"/>
  <c r="G76" i="3"/>
  <c r="J76" i="3" s="1"/>
  <c r="N78" i="3"/>
  <c r="Q78" i="3" s="1"/>
  <c r="G79" i="3"/>
  <c r="D34" i="4" s="1"/>
  <c r="P84" i="3"/>
  <c r="I85" i="3"/>
  <c r="F38" i="4" s="1"/>
  <c r="I87" i="3"/>
  <c r="H88" i="3"/>
  <c r="O93" i="3"/>
  <c r="Q93" i="3" s="1"/>
  <c r="J94" i="3"/>
  <c r="O100" i="3"/>
  <c r="O109" i="3"/>
  <c r="Q109" i="3" s="1"/>
  <c r="J110" i="3"/>
  <c r="O116" i="3"/>
  <c r="Q116" i="3" s="1"/>
  <c r="J126" i="3"/>
  <c r="O132" i="3"/>
  <c r="Q132" i="3" s="1"/>
  <c r="W30" i="4" s="1"/>
  <c r="H143" i="3"/>
  <c r="G6" i="4"/>
  <c r="D50" i="4"/>
  <c r="T49" i="4"/>
  <c r="H48" i="4"/>
  <c r="P47" i="4"/>
  <c r="T45" i="4"/>
  <c r="H44" i="4"/>
  <c r="P43" i="4"/>
  <c r="T41" i="4"/>
  <c r="R40" i="4"/>
  <c r="H40" i="4"/>
  <c r="P39" i="4"/>
  <c r="F39" i="4"/>
  <c r="D38" i="4"/>
  <c r="T37" i="4"/>
  <c r="R36" i="4"/>
  <c r="U50" i="4"/>
  <c r="C50" i="4"/>
  <c r="S49" i="4"/>
  <c r="G48" i="4"/>
  <c r="W47" i="4"/>
  <c r="U46" i="4"/>
  <c r="C46" i="4"/>
  <c r="S45" i="4"/>
  <c r="Q44" i="4"/>
  <c r="G44" i="4"/>
  <c r="U42" i="4"/>
  <c r="C42" i="4"/>
  <c r="S41" i="4"/>
  <c r="Q40" i="4"/>
  <c r="G40" i="4"/>
  <c r="W39" i="4"/>
  <c r="U38" i="4"/>
  <c r="C38" i="4"/>
  <c r="S37" i="4"/>
  <c r="Q36" i="4"/>
  <c r="G36" i="4"/>
  <c r="T50" i="4"/>
  <c r="Q49" i="4"/>
  <c r="G49" i="4"/>
  <c r="U47" i="4"/>
  <c r="C47" i="4"/>
  <c r="S46" i="4"/>
  <c r="Q45" i="4"/>
  <c r="G45" i="4"/>
  <c r="U43" i="4"/>
  <c r="C43" i="4"/>
  <c r="S42" i="4"/>
  <c r="Q41" i="4"/>
  <c r="G41" i="4"/>
  <c r="U39" i="4"/>
  <c r="C39" i="4"/>
  <c r="S38" i="4"/>
  <c r="Q37" i="4"/>
  <c r="G37" i="4"/>
  <c r="W36" i="4"/>
  <c r="H50" i="4"/>
  <c r="P49" i="4"/>
  <c r="F49" i="4"/>
  <c r="T47" i="4"/>
  <c r="R46" i="4"/>
  <c r="H46" i="4"/>
  <c r="P45" i="4"/>
  <c r="T43" i="4"/>
  <c r="R42" i="4"/>
  <c r="H42" i="4"/>
  <c r="P41" i="4"/>
  <c r="D40" i="4"/>
  <c r="T39" i="4"/>
  <c r="R38" i="4"/>
  <c r="H38" i="4"/>
  <c r="P37" i="4"/>
  <c r="P50" i="4"/>
  <c r="T48" i="4"/>
  <c r="H47" i="4"/>
  <c r="P46" i="4"/>
  <c r="F42" i="4"/>
  <c r="T40" i="4"/>
  <c r="H39" i="4"/>
  <c r="P38" i="4"/>
  <c r="E35" i="4"/>
  <c r="U34" i="4"/>
  <c r="C34" i="4"/>
  <c r="Q32" i="4"/>
  <c r="G32" i="4"/>
  <c r="W31" i="4"/>
  <c r="E31" i="4"/>
  <c r="U30" i="4"/>
  <c r="C30" i="4"/>
  <c r="S29" i="4"/>
  <c r="Q28" i="4"/>
  <c r="G28" i="4"/>
  <c r="U26" i="4"/>
  <c r="C26" i="4"/>
  <c r="Q24" i="4"/>
  <c r="G24" i="4"/>
  <c r="U22" i="4"/>
  <c r="C22" i="4"/>
  <c r="S21" i="4"/>
  <c r="Q20" i="4"/>
  <c r="G20" i="4"/>
  <c r="U18" i="4"/>
  <c r="C18" i="4"/>
  <c r="E50" i="4"/>
  <c r="G47" i="4"/>
  <c r="U45" i="4"/>
  <c r="C45" i="4"/>
  <c r="W42" i="4"/>
  <c r="S40" i="4"/>
  <c r="G39" i="4"/>
  <c r="U37" i="4"/>
  <c r="C37" i="4"/>
  <c r="D35" i="4"/>
  <c r="T34" i="4"/>
  <c r="V34" i="4" s="1"/>
  <c r="H33" i="4"/>
  <c r="P32" i="4"/>
  <c r="T30" i="4"/>
  <c r="H29" i="4"/>
  <c r="P28" i="4"/>
  <c r="T26" i="4"/>
  <c r="R25" i="4"/>
  <c r="H25" i="4"/>
  <c r="P24" i="4"/>
  <c r="T22" i="4"/>
  <c r="R21" i="4"/>
  <c r="H21" i="4"/>
  <c r="P20" i="4"/>
  <c r="F20" i="4"/>
  <c r="T18" i="4"/>
  <c r="H49" i="4"/>
  <c r="P48" i="4"/>
  <c r="D47" i="4"/>
  <c r="R45" i="4"/>
  <c r="F44" i="4"/>
  <c r="T42" i="4"/>
  <c r="H41" i="4"/>
  <c r="P40" i="4"/>
  <c r="H36" i="4"/>
  <c r="U35" i="4"/>
  <c r="C35" i="4"/>
  <c r="S34" i="4"/>
  <c r="G33" i="4"/>
  <c r="U31" i="4"/>
  <c r="C31" i="4"/>
  <c r="Q29" i="4"/>
  <c r="G29" i="4"/>
  <c r="W28" i="4"/>
  <c r="U27" i="4"/>
  <c r="C27" i="4"/>
  <c r="Q25" i="4"/>
  <c r="G25" i="4"/>
  <c r="U23" i="4"/>
  <c r="C23" i="4"/>
  <c r="S22" i="4"/>
  <c r="Q21" i="4"/>
  <c r="G21" i="4"/>
  <c r="U19" i="4"/>
  <c r="C19" i="4"/>
  <c r="U49" i="4"/>
  <c r="C49" i="4"/>
  <c r="Q47" i="4"/>
  <c r="G43" i="4"/>
  <c r="G50" i="4"/>
  <c r="U48" i="4"/>
  <c r="C48" i="4"/>
  <c r="Q46" i="4"/>
  <c r="W45" i="4"/>
  <c r="S43" i="4"/>
  <c r="G42" i="4"/>
  <c r="U40" i="4"/>
  <c r="C40" i="4"/>
  <c r="Q38" i="4"/>
  <c r="E37" i="4"/>
  <c r="P35" i="4"/>
  <c r="F35" i="4"/>
  <c r="T33" i="4"/>
  <c r="R32" i="4"/>
  <c r="H32" i="4"/>
  <c r="P31" i="4"/>
  <c r="T29" i="4"/>
  <c r="R28" i="4"/>
  <c r="H28" i="4"/>
  <c r="P27" i="4"/>
  <c r="T25" i="4"/>
  <c r="H24" i="4"/>
  <c r="P23" i="4"/>
  <c r="T21" i="4"/>
  <c r="H20" i="4"/>
  <c r="P19" i="4"/>
  <c r="D18" i="4"/>
  <c r="T17" i="4"/>
  <c r="V17" i="4" s="1"/>
  <c r="H16" i="4"/>
  <c r="P15" i="4"/>
  <c r="F15" i="4"/>
  <c r="D14" i="4"/>
  <c r="T13" i="4"/>
  <c r="R12" i="4"/>
  <c r="H45" i="4"/>
  <c r="H43" i="4"/>
  <c r="U41" i="4"/>
  <c r="H35" i="4"/>
  <c r="P34" i="4"/>
  <c r="D33" i="4"/>
  <c r="R31" i="4"/>
  <c r="T28" i="4"/>
  <c r="H27" i="4"/>
  <c r="P26" i="4"/>
  <c r="D25" i="4"/>
  <c r="R23" i="4"/>
  <c r="T20" i="4"/>
  <c r="H19" i="4"/>
  <c r="P18" i="4"/>
  <c r="Q17" i="4"/>
  <c r="F17" i="4"/>
  <c r="U16" i="4"/>
  <c r="S14" i="4"/>
  <c r="H14" i="4"/>
  <c r="C13" i="4"/>
  <c r="Q12" i="4"/>
  <c r="G12" i="4"/>
  <c r="U10" i="4"/>
  <c r="C10" i="4"/>
  <c r="S9" i="4"/>
  <c r="Q8" i="4"/>
  <c r="G8" i="4"/>
  <c r="E7" i="4"/>
  <c r="U6" i="4"/>
  <c r="C6" i="4"/>
  <c r="S5" i="4"/>
  <c r="G4" i="4"/>
  <c r="W3" i="4"/>
  <c r="E3" i="4"/>
  <c r="U44" i="4"/>
  <c r="R41" i="4"/>
  <c r="T38" i="4"/>
  <c r="H37" i="4"/>
  <c r="G35" i="4"/>
  <c r="U33" i="4"/>
  <c r="C33" i="4"/>
  <c r="Q31" i="4"/>
  <c r="S28" i="4"/>
  <c r="G27" i="4"/>
  <c r="U25" i="4"/>
  <c r="C25" i="4"/>
  <c r="Q23" i="4"/>
  <c r="S20" i="4"/>
  <c r="G19" i="4"/>
  <c r="P17" i="4"/>
  <c r="T16" i="4"/>
  <c r="W15" i="4"/>
  <c r="C15" i="4"/>
  <c r="R14" i="4"/>
  <c r="G14" i="4"/>
  <c r="P12" i="4"/>
  <c r="T10" i="4"/>
  <c r="R9" i="4"/>
  <c r="H9" i="4"/>
  <c r="P8" i="4"/>
  <c r="F8" i="4"/>
  <c r="D7" i="4"/>
  <c r="T6" i="4"/>
  <c r="R5" i="4"/>
  <c r="H5" i="4"/>
  <c r="P4" i="4"/>
  <c r="F4" i="4"/>
  <c r="D3" i="4"/>
  <c r="T46" i="4"/>
  <c r="T44" i="4"/>
  <c r="Q42" i="4"/>
  <c r="E41" i="4"/>
  <c r="S39" i="4"/>
  <c r="G38" i="4"/>
  <c r="U36" i="4"/>
  <c r="T35" i="4"/>
  <c r="H34" i="4"/>
  <c r="P33" i="4"/>
  <c r="D32" i="4"/>
  <c r="R30" i="4"/>
  <c r="T27" i="4"/>
  <c r="H26" i="4"/>
  <c r="P25" i="4"/>
  <c r="R22" i="4"/>
  <c r="T19" i="4"/>
  <c r="S16" i="4"/>
  <c r="G16" i="4"/>
  <c r="Q14" i="4"/>
  <c r="U13" i="4"/>
  <c r="U11" i="4"/>
  <c r="V11" i="4" s="1"/>
  <c r="C11" i="4"/>
  <c r="Q9" i="4"/>
  <c r="G9" i="4"/>
  <c r="W8" i="4"/>
  <c r="E8" i="4"/>
  <c r="U7" i="4"/>
  <c r="C7" i="4"/>
  <c r="S6" i="4"/>
  <c r="Q5" i="4"/>
  <c r="G5" i="4"/>
  <c r="E4" i="4"/>
  <c r="U3" i="4"/>
  <c r="C3" i="4"/>
  <c r="C36" i="4"/>
  <c r="Q34" i="4"/>
  <c r="E33" i="4"/>
  <c r="S31" i="4"/>
  <c r="G30" i="4"/>
  <c r="U28" i="4"/>
  <c r="C28" i="4"/>
  <c r="Q26" i="4"/>
  <c r="S23" i="4"/>
  <c r="G22" i="4"/>
  <c r="U20" i="4"/>
  <c r="C20" i="4"/>
  <c r="E18" i="4"/>
  <c r="R17" i="4"/>
  <c r="G17" i="4"/>
  <c r="Q15" i="4"/>
  <c r="E15" i="4"/>
  <c r="T14" i="4"/>
  <c r="D13" i="4"/>
  <c r="S12" i="4"/>
  <c r="H12" i="4"/>
  <c r="P11" i="4"/>
  <c r="T9" i="4"/>
  <c r="H8" i="4"/>
  <c r="P7" i="4"/>
  <c r="T5" i="4"/>
  <c r="H4" i="4"/>
  <c r="P3" i="4"/>
  <c r="F3" i="4"/>
  <c r="F48" i="4"/>
  <c r="C44" i="4"/>
  <c r="C41" i="4"/>
  <c r="E38" i="4"/>
  <c r="R35" i="4"/>
  <c r="F34" i="4"/>
  <c r="T32" i="4"/>
  <c r="H31" i="4"/>
  <c r="P22" i="4"/>
  <c r="R19" i="4"/>
  <c r="H18" i="4"/>
  <c r="P16" i="4"/>
  <c r="T15" i="4"/>
  <c r="C14" i="4"/>
  <c r="G13" i="4"/>
  <c r="S11" i="4"/>
  <c r="G10" i="4"/>
  <c r="U8" i="4"/>
  <c r="C8" i="4"/>
  <c r="Q6" i="4"/>
  <c r="E5" i="4"/>
  <c r="S47" i="4"/>
  <c r="Q35" i="4"/>
  <c r="E34" i="4"/>
  <c r="S32" i="4"/>
  <c r="G31" i="4"/>
  <c r="U29" i="4"/>
  <c r="C21" i="4"/>
  <c r="Q19" i="4"/>
  <c r="G18" i="4"/>
  <c r="S15" i="4"/>
  <c r="T8" i="4"/>
  <c r="H7" i="4"/>
  <c r="P6" i="4"/>
  <c r="D5" i="4"/>
  <c r="R3" i="4"/>
  <c r="R47" i="4"/>
  <c r="P29" i="4"/>
  <c r="D28" i="4"/>
  <c r="R26" i="4"/>
  <c r="T23" i="4"/>
  <c r="H22" i="4"/>
  <c r="F18" i="4"/>
  <c r="H17" i="4"/>
  <c r="R15" i="4"/>
  <c r="U14" i="4"/>
  <c r="Q11" i="4"/>
  <c r="S8" i="4"/>
  <c r="G7" i="4"/>
  <c r="U5" i="4"/>
  <c r="C5" i="4"/>
  <c r="G46" i="4"/>
  <c r="P42" i="4"/>
  <c r="R39" i="4"/>
  <c r="T36" i="4"/>
  <c r="C32" i="4"/>
  <c r="Q30" i="4"/>
  <c r="S27" i="4"/>
  <c r="G26" i="4"/>
  <c r="U24" i="4"/>
  <c r="C17" i="4"/>
  <c r="F16" i="4"/>
  <c r="P14" i="4"/>
  <c r="S13" i="4"/>
  <c r="Q39" i="4"/>
  <c r="S36" i="4"/>
  <c r="P30" i="4"/>
  <c r="R27" i="4"/>
  <c r="F26" i="4"/>
  <c r="T24" i="4"/>
  <c r="H23" i="4"/>
  <c r="R13" i="4"/>
  <c r="C12" i="4"/>
  <c r="Q10" i="4"/>
  <c r="E9" i="4"/>
  <c r="S7" i="4"/>
  <c r="P36" i="4"/>
  <c r="W34" i="4"/>
  <c r="C29" i="4"/>
  <c r="Q27" i="4"/>
  <c r="E26" i="4"/>
  <c r="S24" i="4"/>
  <c r="G23" i="4"/>
  <c r="U21" i="4"/>
  <c r="F36" i="4"/>
  <c r="R34" i="4"/>
  <c r="T31" i="4"/>
  <c r="H30" i="4"/>
  <c r="P21" i="4"/>
  <c r="C16" i="4"/>
  <c r="G15" i="4"/>
  <c r="P13" i="4"/>
  <c r="T12" i="4"/>
  <c r="G11" i="4"/>
  <c r="U9" i="4"/>
  <c r="C9" i="4"/>
  <c r="Q7" i="4"/>
  <c r="S4" i="4"/>
  <c r="G3" i="4"/>
  <c r="P5" i="4"/>
  <c r="S35" i="4"/>
  <c r="C24" i="4"/>
  <c r="Q16" i="4"/>
  <c r="H13" i="4"/>
  <c r="R10" i="4"/>
  <c r="C4" i="4"/>
  <c r="G34" i="4"/>
  <c r="Q22" i="4"/>
  <c r="U12" i="4"/>
  <c r="P10" i="4"/>
  <c r="D41" i="4"/>
  <c r="H11" i="4"/>
  <c r="J67" i="3"/>
  <c r="J26" i="4" s="1"/>
  <c r="P75" i="3"/>
  <c r="S33" i="4" s="1"/>
  <c r="H79" i="3"/>
  <c r="Q86" i="3"/>
  <c r="N90" i="3"/>
  <c r="O90" i="3"/>
  <c r="R43" i="4" s="1"/>
  <c r="H91" i="3"/>
  <c r="E45" i="4" s="1"/>
  <c r="P93" i="3"/>
  <c r="S50" i="4" s="1"/>
  <c r="N95" i="3"/>
  <c r="Q95" i="3" s="1"/>
  <c r="P95" i="3"/>
  <c r="S48" i="4" s="1"/>
  <c r="O95" i="3"/>
  <c r="R48" i="4" s="1"/>
  <c r="Q96" i="3"/>
  <c r="G97" i="3"/>
  <c r="J97" i="3" s="1"/>
  <c r="J99" i="3"/>
  <c r="P100" i="3"/>
  <c r="I104" i="3"/>
  <c r="H104" i="3"/>
  <c r="E12" i="4" s="1"/>
  <c r="G104" i="3"/>
  <c r="D12" i="4" s="1"/>
  <c r="P109" i="3"/>
  <c r="N111" i="3"/>
  <c r="P111" i="3"/>
  <c r="S19" i="4" s="1"/>
  <c r="O111" i="3"/>
  <c r="Q112" i="3"/>
  <c r="G113" i="3"/>
  <c r="J113" i="3" s="1"/>
  <c r="P116" i="3"/>
  <c r="I120" i="3"/>
  <c r="H120" i="3"/>
  <c r="G120" i="3"/>
  <c r="J120" i="3" s="1"/>
  <c r="N127" i="3"/>
  <c r="P127" i="3"/>
  <c r="O127" i="3"/>
  <c r="R33" i="4" s="1"/>
  <c r="Q128" i="3"/>
  <c r="W32" i="4" s="1"/>
  <c r="G129" i="3"/>
  <c r="J129" i="3" s="1"/>
  <c r="P132" i="3"/>
  <c r="S30" i="4" s="1"/>
  <c r="J142" i="3"/>
  <c r="I143" i="3"/>
  <c r="F40" i="4" s="1"/>
  <c r="H6" i="4"/>
  <c r="H15" i="4"/>
  <c r="J137" i="3"/>
  <c r="J50" i="4" s="1"/>
  <c r="P138" i="3"/>
  <c r="S44" i="4" s="1"/>
  <c r="O138" i="3"/>
  <c r="Q138" i="3" s="1"/>
  <c r="I140" i="3"/>
  <c r="H140" i="3"/>
  <c r="J140" i="3" s="1"/>
  <c r="P137" i="3"/>
  <c r="O137" i="3"/>
  <c r="N137" i="3"/>
  <c r="I139" i="3"/>
  <c r="H139" i="3"/>
  <c r="G139" i="3"/>
  <c r="D43" i="4" s="1"/>
  <c r="O94" i="3"/>
  <c r="Q94" i="3" s="1"/>
  <c r="O98" i="3"/>
  <c r="Q98" i="3" s="1"/>
  <c r="O102" i="3"/>
  <c r="Q102" i="3" s="1"/>
  <c r="O106" i="3"/>
  <c r="Q106" i="3" s="1"/>
  <c r="O110" i="3"/>
  <c r="Q110" i="3" s="1"/>
  <c r="O114" i="3"/>
  <c r="Q114" i="3" s="1"/>
  <c r="O118" i="3"/>
  <c r="Q118" i="3" s="1"/>
  <c r="O122" i="3"/>
  <c r="Q122" i="3" s="1"/>
  <c r="W37" i="4" s="1"/>
  <c r="O126" i="3"/>
  <c r="Q126" i="3" s="1"/>
  <c r="O130" i="3"/>
  <c r="Q130" i="3" s="1"/>
  <c r="J135" i="3"/>
  <c r="N136" i="3"/>
  <c r="Q136" i="3" s="1"/>
  <c r="G138" i="3"/>
  <c r="J138" i="3" s="1"/>
  <c r="J145" i="3"/>
  <c r="U8" i="6"/>
  <c r="U16" i="6"/>
  <c r="U24" i="6"/>
  <c r="U9" i="6"/>
  <c r="U17" i="6"/>
  <c r="N21" i="6"/>
  <c r="U25" i="6"/>
  <c r="N29" i="6"/>
  <c r="U10" i="6"/>
  <c r="U18" i="6"/>
  <c r="U26" i="6"/>
  <c r="U34" i="6"/>
  <c r="N23" i="6"/>
  <c r="O23" i="6"/>
  <c r="N32" i="6"/>
  <c r="U5" i="6"/>
  <c r="U22" i="6"/>
  <c r="S25" i="4" l="1"/>
  <c r="Q24" i="3"/>
  <c r="F34" i="6"/>
  <c r="L34" i="6" s="1"/>
  <c r="W26" i="4"/>
  <c r="V7" i="4"/>
  <c r="Q23" i="3"/>
  <c r="Q21" i="3"/>
  <c r="W24" i="4"/>
  <c r="V32" i="4"/>
  <c r="Y32" i="4" s="1"/>
  <c r="Q17" i="3"/>
  <c r="W18" i="4" s="1"/>
  <c r="Q15" i="3"/>
  <c r="W13" i="4" s="1"/>
  <c r="V31" i="4"/>
  <c r="Y31" i="4" s="1"/>
  <c r="Q12" i="3"/>
  <c r="Q9" i="3"/>
  <c r="V19" i="4"/>
  <c r="Q7" i="3"/>
  <c r="W10" i="4" s="1"/>
  <c r="Y34" i="4"/>
  <c r="S10" i="4"/>
  <c r="V36" i="4"/>
  <c r="Y36" i="4" s="1"/>
  <c r="V26" i="4"/>
  <c r="Y26" i="4" s="1"/>
  <c r="Q5" i="3"/>
  <c r="W6" i="4" s="1"/>
  <c r="V38" i="4"/>
  <c r="V50" i="4"/>
  <c r="Q4" i="3"/>
  <c r="W4" i="4" s="1"/>
  <c r="Y4" i="4" s="1"/>
  <c r="B14" i="7"/>
  <c r="B13" i="7"/>
  <c r="V18" i="4"/>
  <c r="V46" i="4"/>
  <c r="Y46" i="4" s="1"/>
  <c r="U27" i="6"/>
  <c r="V24" i="4"/>
  <c r="U33" i="6"/>
  <c r="Q3" i="4"/>
  <c r="V42" i="4"/>
  <c r="Y42" i="4" s="1"/>
  <c r="V15" i="4"/>
  <c r="Y15" i="4" s="1"/>
  <c r="V35" i="4"/>
  <c r="V39" i="4"/>
  <c r="Y39" i="4" s="1"/>
  <c r="W5" i="4"/>
  <c r="V9" i="4"/>
  <c r="Y9" i="4" s="1"/>
  <c r="V48" i="4"/>
  <c r="B12" i="7"/>
  <c r="U19" i="6"/>
  <c r="V40" i="4"/>
  <c r="Y40" i="4" s="1"/>
  <c r="V16" i="4"/>
  <c r="V29" i="4"/>
  <c r="V30" i="4"/>
  <c r="Y30" i="4" s="1"/>
  <c r="V22" i="4"/>
  <c r="Y22" i="4" s="1"/>
  <c r="V47" i="4"/>
  <c r="Y47" i="4" s="1"/>
  <c r="V10" i="4"/>
  <c r="E40" i="4"/>
  <c r="F46" i="4"/>
  <c r="E44" i="4"/>
  <c r="E43" i="4"/>
  <c r="F43" i="4"/>
  <c r="J128" i="3"/>
  <c r="J32" i="4"/>
  <c r="J31" i="4"/>
  <c r="J33" i="4"/>
  <c r="J124" i="3"/>
  <c r="J123" i="3"/>
  <c r="J35" i="4" s="1"/>
  <c r="E17" i="4"/>
  <c r="E16" i="4"/>
  <c r="D15" i="4"/>
  <c r="J118" i="3"/>
  <c r="F23" i="4"/>
  <c r="F22" i="4"/>
  <c r="J19" i="4"/>
  <c r="E14" i="4"/>
  <c r="J102" i="3"/>
  <c r="E10" i="4"/>
  <c r="F10" i="4"/>
  <c r="E48" i="4"/>
  <c r="E47" i="4"/>
  <c r="J89" i="3"/>
  <c r="J88" i="3"/>
  <c r="F37" i="4"/>
  <c r="D39" i="4"/>
  <c r="D30" i="4"/>
  <c r="E30" i="4"/>
  <c r="J28" i="4"/>
  <c r="J70" i="3"/>
  <c r="D20" i="4"/>
  <c r="F19" i="4"/>
  <c r="D19" i="4"/>
  <c r="J21" i="4"/>
  <c r="F21" i="4"/>
  <c r="J18" i="4"/>
  <c r="J62" i="3"/>
  <c r="J63" i="3"/>
  <c r="J11" i="4"/>
  <c r="E11" i="4"/>
  <c r="F14" i="4"/>
  <c r="D17" i="4"/>
  <c r="J58" i="3"/>
  <c r="J15" i="4" s="1"/>
  <c r="D9" i="4"/>
  <c r="J54" i="3"/>
  <c r="J7" i="4"/>
  <c r="F7" i="4"/>
  <c r="J45" i="3"/>
  <c r="J48" i="4" s="1"/>
  <c r="J44" i="3"/>
  <c r="D48" i="4"/>
  <c r="J47" i="4"/>
  <c r="J43" i="3"/>
  <c r="E42" i="4"/>
  <c r="J33" i="3"/>
  <c r="E28" i="4"/>
  <c r="E32" i="4"/>
  <c r="B5" i="7"/>
  <c r="B6" i="7" s="1"/>
  <c r="E27" i="4"/>
  <c r="J25" i="4"/>
  <c r="J25" i="3"/>
  <c r="D26" i="4"/>
  <c r="J23" i="3"/>
  <c r="J20" i="4" s="1"/>
  <c r="J21" i="3"/>
  <c r="J16" i="3"/>
  <c r="J17" i="4" s="1"/>
  <c r="E13" i="4"/>
  <c r="I50" i="4"/>
  <c r="L50" i="4" s="1"/>
  <c r="I3" i="4"/>
  <c r="L3" i="4" s="1"/>
  <c r="F12" i="4"/>
  <c r="J13" i="3"/>
  <c r="J9" i="3"/>
  <c r="J16" i="4" s="1"/>
  <c r="D16" i="4"/>
  <c r="I29" i="4"/>
  <c r="I34" i="4"/>
  <c r="I16" i="4"/>
  <c r="I10" i="4"/>
  <c r="J5" i="3"/>
  <c r="J6" i="4" s="1"/>
  <c r="J4" i="3"/>
  <c r="J4" i="4" s="1"/>
  <c r="I27" i="4"/>
  <c r="I47" i="4"/>
  <c r="I40" i="4"/>
  <c r="I25" i="4"/>
  <c r="I46" i="4"/>
  <c r="I9" i="4"/>
  <c r="I33" i="4"/>
  <c r="I19" i="4"/>
  <c r="I14" i="4"/>
  <c r="I42" i="4"/>
  <c r="I39" i="4"/>
  <c r="I24" i="4"/>
  <c r="I28" i="4"/>
  <c r="I43" i="4"/>
  <c r="J3" i="3"/>
  <c r="J5" i="4" s="1"/>
  <c r="I8" i="4"/>
  <c r="I15" i="4"/>
  <c r="I18" i="4"/>
  <c r="I13" i="4"/>
  <c r="I20" i="4"/>
  <c r="I44" i="4"/>
  <c r="I22" i="4"/>
  <c r="I35" i="4"/>
  <c r="I4" i="4"/>
  <c r="J46" i="4"/>
  <c r="W44" i="4"/>
  <c r="J14" i="4"/>
  <c r="W19" i="4"/>
  <c r="W50" i="4"/>
  <c r="V6" i="4"/>
  <c r="Q127" i="3"/>
  <c r="W33" i="4" s="1"/>
  <c r="Q90" i="3"/>
  <c r="W43" i="4" s="1"/>
  <c r="J139" i="3"/>
  <c r="J104" i="3"/>
  <c r="J12" i="4" s="1"/>
  <c r="V14" i="4"/>
  <c r="Y14" i="4" s="1"/>
  <c r="I30" i="4"/>
  <c r="I38" i="4"/>
  <c r="V20" i="4"/>
  <c r="R24" i="4"/>
  <c r="V33" i="4"/>
  <c r="R29" i="4"/>
  <c r="I32" i="4"/>
  <c r="I45" i="4"/>
  <c r="I48" i="4"/>
  <c r="Q99" i="3"/>
  <c r="J141" i="3"/>
  <c r="J39" i="3"/>
  <c r="J41" i="4" s="1"/>
  <c r="R7" i="4"/>
  <c r="R20" i="4"/>
  <c r="R37" i="4"/>
  <c r="Q43" i="4"/>
  <c r="I41" i="4"/>
  <c r="Q48" i="4"/>
  <c r="J91" i="3"/>
  <c r="J96" i="3"/>
  <c r="J44" i="4" s="1"/>
  <c r="J101" i="3"/>
  <c r="J9" i="4" s="1"/>
  <c r="J133" i="3"/>
  <c r="J27" i="4" s="1"/>
  <c r="Q85" i="3"/>
  <c r="W38" i="4" s="1"/>
  <c r="J40" i="3"/>
  <c r="J40" i="4" s="1"/>
  <c r="Q39" i="3"/>
  <c r="W41" i="4" s="1"/>
  <c r="D21" i="4"/>
  <c r="V25" i="4"/>
  <c r="I37" i="4"/>
  <c r="V5" i="4"/>
  <c r="Q137" i="3"/>
  <c r="I23" i="4"/>
  <c r="I7" i="4"/>
  <c r="V8" i="4"/>
  <c r="Y8" i="4" s="1"/>
  <c r="I17" i="4"/>
  <c r="I12" i="4"/>
  <c r="V21" i="4"/>
  <c r="Y21" i="4" s="1"/>
  <c r="E46" i="4"/>
  <c r="D31" i="4"/>
  <c r="V43" i="4"/>
  <c r="I36" i="4"/>
  <c r="R44" i="4"/>
  <c r="Q59" i="3"/>
  <c r="W17" i="4" s="1"/>
  <c r="Y17" i="4" s="1"/>
  <c r="Q120" i="3"/>
  <c r="W16" i="4" s="1"/>
  <c r="J35" i="3"/>
  <c r="J36" i="4" s="1"/>
  <c r="J47" i="3"/>
  <c r="J49" i="4" s="1"/>
  <c r="I5" i="4"/>
  <c r="Q33" i="4"/>
  <c r="D44" i="4"/>
  <c r="V49" i="4"/>
  <c r="R6" i="4"/>
  <c r="J42" i="3"/>
  <c r="J43" i="4" s="1"/>
  <c r="J100" i="3"/>
  <c r="J10" i="4" s="1"/>
  <c r="J37" i="3"/>
  <c r="J37" i="4" s="1"/>
  <c r="J27" i="3"/>
  <c r="J36" i="3"/>
  <c r="Q20" i="3"/>
  <c r="W23" i="4" s="1"/>
  <c r="J132" i="3"/>
  <c r="J30" i="4" s="1"/>
  <c r="Q104" i="3"/>
  <c r="J60" i="3"/>
  <c r="J13" i="4" s="1"/>
  <c r="V13" i="4"/>
  <c r="Q50" i="4"/>
  <c r="V45" i="4"/>
  <c r="Y45" i="4" s="1"/>
  <c r="J79" i="3"/>
  <c r="V3" i="4"/>
  <c r="Y3" i="4" s="1"/>
  <c r="Q25" i="3"/>
  <c r="W25" i="4" s="1"/>
  <c r="Q6" i="3"/>
  <c r="W7" i="4" s="1"/>
  <c r="V44" i="4"/>
  <c r="Q111" i="3"/>
  <c r="I11" i="4"/>
  <c r="R18" i="4"/>
  <c r="I21" i="4"/>
  <c r="V41" i="4"/>
  <c r="D46" i="4"/>
  <c r="J71" i="3"/>
  <c r="Q45" i="3"/>
  <c r="W48" i="4" s="1"/>
  <c r="Q47" i="3"/>
  <c r="W49" i="4" s="1"/>
  <c r="V12" i="4"/>
  <c r="I26" i="4"/>
  <c r="L26" i="4" s="1"/>
  <c r="V23" i="4"/>
  <c r="I31" i="4"/>
  <c r="R8" i="4"/>
  <c r="R49" i="4"/>
  <c r="V27" i="4"/>
  <c r="V28" i="4"/>
  <c r="Y28" i="4" s="1"/>
  <c r="R50" i="4"/>
  <c r="I49" i="4"/>
  <c r="V37" i="4"/>
  <c r="Y37" i="4" s="1"/>
  <c r="D42" i="4"/>
  <c r="I6" i="4"/>
  <c r="Q70" i="3"/>
  <c r="W20" i="4" s="1"/>
  <c r="J85" i="3"/>
  <c r="Q29" i="3"/>
  <c r="W29" i="4" s="1"/>
  <c r="Q13" i="3"/>
  <c r="J117" i="3"/>
  <c r="J23" i="4" s="1"/>
  <c r="Q123" i="3"/>
  <c r="W35" i="4" s="1"/>
  <c r="J81" i="3"/>
  <c r="J29" i="4" s="1"/>
  <c r="J11" i="3"/>
  <c r="J8" i="4" s="1"/>
  <c r="D8" i="4"/>
  <c r="J73" i="3"/>
  <c r="J24" i="4" s="1"/>
  <c r="Q28" i="3"/>
  <c r="W27" i="4" s="1"/>
  <c r="J112" i="3"/>
  <c r="Q103" i="3"/>
  <c r="W11" i="4" s="1"/>
  <c r="Y11" i="4" s="1"/>
  <c r="J41" i="3"/>
  <c r="J42" i="4" s="1"/>
  <c r="Q76" i="3"/>
  <c r="J38" i="3"/>
  <c r="J39" i="4" s="1"/>
  <c r="Y7" i="4" l="1"/>
  <c r="Y24" i="4"/>
  <c r="Y18" i="4"/>
  <c r="Y50" i="4"/>
  <c r="Y29" i="4"/>
  <c r="Y19" i="4"/>
  <c r="Y13" i="4"/>
  <c r="Y38" i="4"/>
  <c r="Y10" i="4"/>
  <c r="Z10" i="4" s="1"/>
  <c r="AA10" i="4" s="1"/>
  <c r="Y16" i="4"/>
  <c r="Z17" i="4" s="1"/>
  <c r="AA17" i="4" s="1"/>
  <c r="Y48" i="4"/>
  <c r="Y6" i="4"/>
  <c r="Y20" i="4"/>
  <c r="Y5" i="4"/>
  <c r="Z4" i="4" s="1"/>
  <c r="AA4" i="4" s="1"/>
  <c r="Y35" i="4"/>
  <c r="Y27" i="4"/>
  <c r="Z27" i="4" s="1"/>
  <c r="Y33" i="4"/>
  <c r="Z33" i="4" s="1"/>
  <c r="AA33" i="4" s="1"/>
  <c r="L31" i="4"/>
  <c r="J45" i="4"/>
  <c r="L45" i="4" s="1"/>
  <c r="L32" i="4"/>
  <c r="L33" i="4"/>
  <c r="L35" i="4"/>
  <c r="L19" i="4"/>
  <c r="J22" i="4"/>
  <c r="L22" i="4" s="1"/>
  <c r="L28" i="4"/>
  <c r="L21" i="4"/>
  <c r="L18" i="4"/>
  <c r="L11" i="4"/>
  <c r="L7" i="4"/>
  <c r="L15" i="4"/>
  <c r="L48" i="4"/>
  <c r="L47" i="4"/>
  <c r="L25" i="4"/>
  <c r="L20" i="4"/>
  <c r="L17" i="4"/>
  <c r="L39" i="4"/>
  <c r="L29" i="4"/>
  <c r="L16" i="4"/>
  <c r="L40" i="4"/>
  <c r="L6" i="4"/>
  <c r="L10" i="4"/>
  <c r="L8" i="4"/>
  <c r="L9" i="4"/>
  <c r="L4" i="4"/>
  <c r="L36" i="4"/>
  <c r="L14" i="4"/>
  <c r="L42" i="4"/>
  <c r="L27" i="4"/>
  <c r="L46" i="4"/>
  <c r="L24" i="4"/>
  <c r="L37" i="4"/>
  <c r="L49" i="4"/>
  <c r="L13" i="4"/>
  <c r="L44" i="4"/>
  <c r="L12" i="4"/>
  <c r="L5" i="4"/>
  <c r="L43" i="4"/>
  <c r="L41" i="4"/>
  <c r="L23" i="4"/>
  <c r="J38" i="4"/>
  <c r="L38" i="4" s="1"/>
  <c r="Y43" i="4"/>
  <c r="L30" i="4"/>
  <c r="Z22" i="4"/>
  <c r="AA22" i="4" s="1"/>
  <c r="W12" i="4"/>
  <c r="Y12" i="4" s="1"/>
  <c r="Z12" i="4" s="1"/>
  <c r="AA12" i="4" s="1"/>
  <c r="Y49" i="4"/>
  <c r="Z49" i="4" s="1"/>
  <c r="AA49" i="4" s="1"/>
  <c r="J34" i="4"/>
  <c r="L34" i="4" s="1"/>
  <c r="M34" i="4" s="1"/>
  <c r="N34" i="4" s="1"/>
  <c r="Y25" i="4"/>
  <c r="Y44" i="4"/>
  <c r="Y23" i="4"/>
  <c r="Y41" i="4"/>
  <c r="Z42" i="4" s="1"/>
  <c r="AA42" i="4" s="1"/>
  <c r="Z21" i="4" l="1"/>
  <c r="AA21" i="4" s="1"/>
  <c r="Z20" i="4"/>
  <c r="AA20" i="4" s="1"/>
  <c r="Z9" i="4"/>
  <c r="AA9" i="4" s="1"/>
  <c r="Z35" i="4"/>
  <c r="Z15" i="4"/>
  <c r="E57" i="4" s="1"/>
  <c r="N11" i="6" s="1"/>
  <c r="Z8" i="4"/>
  <c r="AA8" i="4" s="1"/>
  <c r="Z7" i="4"/>
  <c r="Z18" i="4"/>
  <c r="AA18" i="4" s="1"/>
  <c r="Z16" i="4"/>
  <c r="AA16" i="4" s="1"/>
  <c r="Z3" i="4"/>
  <c r="E54" i="4" s="1"/>
  <c r="N9" i="6" s="1"/>
  <c r="Z19" i="4"/>
  <c r="G58" i="4" s="1"/>
  <c r="F7" i="5" s="1"/>
  <c r="Z25" i="4"/>
  <c r="AA25" i="4" s="1"/>
  <c r="Z38" i="4"/>
  <c r="AA38" i="4" s="1"/>
  <c r="Z5" i="4"/>
  <c r="AA5" i="4" s="1"/>
  <c r="Z6" i="4"/>
  <c r="AA6" i="4" s="1"/>
  <c r="Z48" i="4"/>
  <c r="AA48" i="4" s="1"/>
  <c r="Z37" i="4"/>
  <c r="AA37" i="4" s="1"/>
  <c r="Z39" i="4"/>
  <c r="E63" i="4" s="1"/>
  <c r="N16" i="6" s="1"/>
  <c r="Z44" i="4"/>
  <c r="AA44" i="4" s="1"/>
  <c r="Z36" i="4"/>
  <c r="AA36" i="4" s="1"/>
  <c r="Z30" i="4"/>
  <c r="AA30" i="4" s="1"/>
  <c r="Z11" i="4"/>
  <c r="F56" i="4" s="1"/>
  <c r="O5" i="6" s="1"/>
  <c r="Z29" i="4"/>
  <c r="AA29" i="4" s="1"/>
  <c r="Z32" i="4"/>
  <c r="AA32" i="4" s="1"/>
  <c r="Z34" i="4"/>
  <c r="AA34" i="4" s="1"/>
  <c r="Z31" i="4"/>
  <c r="E61" i="4" s="1"/>
  <c r="N14" i="6" s="1"/>
  <c r="Z14" i="4"/>
  <c r="AA14" i="4" s="1"/>
  <c r="Z28" i="4"/>
  <c r="AA28" i="4" s="1"/>
  <c r="Z13" i="4"/>
  <c r="AA13" i="4" s="1"/>
  <c r="M38" i="4"/>
  <c r="N38" i="4" s="1"/>
  <c r="M17" i="4"/>
  <c r="N17" i="4" s="1"/>
  <c r="M48" i="4"/>
  <c r="N48" i="4" s="1"/>
  <c r="M18" i="4"/>
  <c r="N18" i="4" s="1"/>
  <c r="M16" i="4"/>
  <c r="N16" i="4" s="1"/>
  <c r="M22" i="4"/>
  <c r="N22" i="4" s="1"/>
  <c r="M15" i="4"/>
  <c r="M7" i="4"/>
  <c r="I55" i="4" s="1"/>
  <c r="C4" i="5" s="1"/>
  <c r="M9" i="4"/>
  <c r="N9" i="4" s="1"/>
  <c r="M3" i="4"/>
  <c r="M10" i="4"/>
  <c r="N10" i="4" s="1"/>
  <c r="M8" i="4"/>
  <c r="N8" i="4" s="1"/>
  <c r="M24" i="4"/>
  <c r="N24" i="4" s="1"/>
  <c r="M50" i="4"/>
  <c r="N50" i="4" s="1"/>
  <c r="M30" i="4"/>
  <c r="N30" i="4" s="1"/>
  <c r="M20" i="4"/>
  <c r="N20" i="4" s="1"/>
  <c r="M39" i="4"/>
  <c r="N39" i="4" s="1"/>
  <c r="M37" i="4"/>
  <c r="N37" i="4" s="1"/>
  <c r="M36" i="4"/>
  <c r="N36" i="4" s="1"/>
  <c r="M14" i="4"/>
  <c r="N14" i="4" s="1"/>
  <c r="M21" i="4"/>
  <c r="N21" i="4" s="1"/>
  <c r="M19" i="4"/>
  <c r="M49" i="4"/>
  <c r="N49" i="4" s="1"/>
  <c r="M46" i="4"/>
  <c r="N46" i="4" s="1"/>
  <c r="M40" i="4"/>
  <c r="N40" i="4" s="1"/>
  <c r="M47" i="4"/>
  <c r="M12" i="4"/>
  <c r="N12" i="4" s="1"/>
  <c r="M41" i="4"/>
  <c r="N41" i="4" s="1"/>
  <c r="M42" i="4"/>
  <c r="N42" i="4" s="1"/>
  <c r="M35" i="4"/>
  <c r="B62" i="4" s="1"/>
  <c r="F7" i="6" s="1"/>
  <c r="M5" i="4"/>
  <c r="N5" i="4" s="1"/>
  <c r="M11" i="4"/>
  <c r="M13" i="4"/>
  <c r="N13" i="4" s="1"/>
  <c r="M33" i="4"/>
  <c r="N33" i="4" s="1"/>
  <c r="M45" i="4"/>
  <c r="N45" i="4" s="1"/>
  <c r="M4" i="4"/>
  <c r="N4" i="4" s="1"/>
  <c r="M6" i="4"/>
  <c r="N6" i="4" s="1"/>
  <c r="E60" i="4"/>
  <c r="N12" i="6" s="1"/>
  <c r="AA27" i="4"/>
  <c r="Z43" i="4"/>
  <c r="Z46" i="4"/>
  <c r="AA46" i="4" s="1"/>
  <c r="M32" i="4"/>
  <c r="N32" i="4" s="1"/>
  <c r="F58" i="4"/>
  <c r="N8" i="6" s="1"/>
  <c r="M23" i="4"/>
  <c r="M25" i="4"/>
  <c r="N25" i="4" s="1"/>
  <c r="M26" i="4"/>
  <c r="N26" i="4" s="1"/>
  <c r="F62" i="4"/>
  <c r="O8" i="6" s="1"/>
  <c r="E62" i="4"/>
  <c r="N7" i="6" s="1"/>
  <c r="AA35" i="4"/>
  <c r="M44" i="4"/>
  <c r="N44" i="4" s="1"/>
  <c r="M29" i="4"/>
  <c r="N29" i="4" s="1"/>
  <c r="M31" i="4"/>
  <c r="Z50" i="4"/>
  <c r="AA50" i="4" s="1"/>
  <c r="M28" i="4"/>
  <c r="N28" i="4" s="1"/>
  <c r="Z41" i="4"/>
  <c r="AA41" i="4" s="1"/>
  <c r="Z40" i="4"/>
  <c r="AA40" i="4" s="1"/>
  <c r="Z23" i="4"/>
  <c r="Z26" i="4"/>
  <c r="AA26" i="4" s="1"/>
  <c r="Z24" i="4"/>
  <c r="AA24" i="4" s="1"/>
  <c r="Z47" i="4"/>
  <c r="M43" i="4"/>
  <c r="Z45" i="4"/>
  <c r="AA45" i="4" s="1"/>
  <c r="M27" i="4"/>
  <c r="G55" i="4" l="1"/>
  <c r="F4" i="5" s="1"/>
  <c r="J58" i="4"/>
  <c r="G7" i="5" s="1"/>
  <c r="AA15" i="4"/>
  <c r="F55" i="4"/>
  <c r="O3" i="6" s="1"/>
  <c r="AA7" i="4"/>
  <c r="J57" i="4"/>
  <c r="G6" i="5" s="1"/>
  <c r="J55" i="4"/>
  <c r="G4" i="5" s="1"/>
  <c r="E55" i="4"/>
  <c r="N15" i="6" s="1"/>
  <c r="J62" i="4"/>
  <c r="G11" i="5" s="1"/>
  <c r="G57" i="4"/>
  <c r="F6" i="5" s="1"/>
  <c r="E58" i="4"/>
  <c r="N4" i="6" s="1"/>
  <c r="F57" i="4"/>
  <c r="N18" i="6" s="1"/>
  <c r="AA19" i="4"/>
  <c r="F54" i="4"/>
  <c r="N3" i="6" s="1"/>
  <c r="AA3" i="4"/>
  <c r="G54" i="4"/>
  <c r="F3" i="5" s="1"/>
  <c r="AA39" i="4"/>
  <c r="J54" i="4"/>
  <c r="G3" i="5" s="1"/>
  <c r="G61" i="4"/>
  <c r="F10" i="5" s="1"/>
  <c r="AA31" i="4"/>
  <c r="G62" i="4"/>
  <c r="F11" i="5" s="1"/>
  <c r="AA11" i="4"/>
  <c r="E56" i="4"/>
  <c r="N6" i="6" s="1"/>
  <c r="J60" i="4"/>
  <c r="G9" i="5" s="1"/>
  <c r="F61" i="4"/>
  <c r="O16" i="6" s="1"/>
  <c r="J63" i="4"/>
  <c r="G12" i="5" s="1"/>
  <c r="F63" i="4"/>
  <c r="O14" i="6" s="1"/>
  <c r="J61" i="4"/>
  <c r="G10" i="5" s="1"/>
  <c r="G60" i="4"/>
  <c r="F9" i="5" s="1"/>
  <c r="J56" i="4"/>
  <c r="G5" i="5" s="1"/>
  <c r="F60" i="4"/>
  <c r="O18" i="6" s="1"/>
  <c r="G63" i="4"/>
  <c r="F12" i="5" s="1"/>
  <c r="G56" i="4"/>
  <c r="F5" i="5" s="1"/>
  <c r="B57" i="4"/>
  <c r="F11" i="6" s="1"/>
  <c r="B58" i="4"/>
  <c r="F4" i="6" s="1"/>
  <c r="C57" i="4"/>
  <c r="F18" i="6" s="1"/>
  <c r="B54" i="4"/>
  <c r="F9" i="6" s="1"/>
  <c r="B65" i="4"/>
  <c r="F10" i="6" s="1"/>
  <c r="N7" i="4"/>
  <c r="D55" i="4"/>
  <c r="B4" i="5" s="1"/>
  <c r="D57" i="4"/>
  <c r="B6" i="5" s="1"/>
  <c r="N15" i="4"/>
  <c r="I57" i="4"/>
  <c r="C6" i="5" s="1"/>
  <c r="N3" i="4"/>
  <c r="B55" i="4"/>
  <c r="F15" i="6" s="1"/>
  <c r="B56" i="4"/>
  <c r="F6" i="6" s="1"/>
  <c r="C55" i="4"/>
  <c r="G3" i="6" s="1"/>
  <c r="N35" i="4"/>
  <c r="B63" i="4"/>
  <c r="F16" i="6" s="1"/>
  <c r="I62" i="4"/>
  <c r="C11" i="5" s="1"/>
  <c r="C58" i="4"/>
  <c r="F8" i="6" s="1"/>
  <c r="N19" i="4"/>
  <c r="C65" i="4"/>
  <c r="G13" i="6" s="1"/>
  <c r="N47" i="4"/>
  <c r="C54" i="4"/>
  <c r="F3" i="6" s="1"/>
  <c r="D62" i="4"/>
  <c r="B11" i="5" s="1"/>
  <c r="D58" i="4"/>
  <c r="B7" i="5" s="1"/>
  <c r="C63" i="4"/>
  <c r="G14" i="6" s="1"/>
  <c r="I63" i="4"/>
  <c r="C12" i="5" s="1"/>
  <c r="I65" i="4"/>
  <c r="C14" i="5" s="1"/>
  <c r="I58" i="4"/>
  <c r="C7" i="5" s="1"/>
  <c r="D63" i="4"/>
  <c r="B12" i="5" s="1"/>
  <c r="D65" i="4"/>
  <c r="B14" i="5" s="1"/>
  <c r="I56" i="4"/>
  <c r="C5" i="5" s="1"/>
  <c r="C56" i="4"/>
  <c r="G5" i="6" s="1"/>
  <c r="I54" i="4"/>
  <c r="C3" i="5" s="1"/>
  <c r="C62" i="4"/>
  <c r="G8" i="6" s="1"/>
  <c r="D54" i="4"/>
  <c r="B3" i="5" s="1"/>
  <c r="N11" i="4"/>
  <c r="D56" i="4"/>
  <c r="B5" i="5" s="1"/>
  <c r="D64" i="4"/>
  <c r="B13" i="5" s="1"/>
  <c r="N43" i="4"/>
  <c r="C64" i="4"/>
  <c r="F13" i="6" s="1"/>
  <c r="B64" i="4"/>
  <c r="F17" i="6" s="1"/>
  <c r="I64" i="4"/>
  <c r="C13" i="5" s="1"/>
  <c r="F65" i="4"/>
  <c r="O13" i="6" s="1"/>
  <c r="E65" i="4"/>
  <c r="N10" i="6" s="1"/>
  <c r="J65" i="4"/>
  <c r="G14" i="5" s="1"/>
  <c r="G65" i="4"/>
  <c r="F14" i="5" s="1"/>
  <c r="AA47" i="4"/>
  <c r="F59" i="4"/>
  <c r="O6" i="6" s="1"/>
  <c r="E59" i="4"/>
  <c r="N5" i="6" s="1"/>
  <c r="J59" i="4"/>
  <c r="G8" i="5" s="1"/>
  <c r="G59" i="4"/>
  <c r="F8" i="5" s="1"/>
  <c r="AA23" i="4"/>
  <c r="F64" i="4"/>
  <c r="N13" i="6" s="1"/>
  <c r="E64" i="4"/>
  <c r="N17" i="6" s="1"/>
  <c r="J64" i="4"/>
  <c r="G13" i="5" s="1"/>
  <c r="G64" i="4"/>
  <c r="F13" i="5" s="1"/>
  <c r="AA43" i="4"/>
  <c r="D61" i="4"/>
  <c r="B10" i="5" s="1"/>
  <c r="C61" i="4"/>
  <c r="G16" i="6" s="1"/>
  <c r="B61" i="4"/>
  <c r="F14" i="6" s="1"/>
  <c r="I61" i="4"/>
  <c r="C10" i="5" s="1"/>
  <c r="N31" i="4"/>
  <c r="D60" i="4"/>
  <c r="B9" i="5" s="1"/>
  <c r="C60" i="4"/>
  <c r="G18" i="6" s="1"/>
  <c r="B60" i="4"/>
  <c r="F12" i="6" s="1"/>
  <c r="I60" i="4"/>
  <c r="C9" i="5" s="1"/>
  <c r="N27" i="4"/>
  <c r="D59" i="4"/>
  <c r="B8" i="5" s="1"/>
  <c r="C59" i="4"/>
  <c r="G6" i="6" s="1"/>
  <c r="B59" i="4"/>
  <c r="F5" i="6" s="1"/>
  <c r="I59" i="4"/>
  <c r="C8" i="5" s="1"/>
  <c r="N23" i="4"/>
  <c r="H6" i="5" l="1"/>
  <c r="I6" i="5" s="1"/>
  <c r="H13" i="5"/>
  <c r="I13" i="5" s="1"/>
  <c r="D9" i="5"/>
  <c r="E9" i="5" s="1"/>
  <c r="H5" i="5"/>
  <c r="I5" i="5" s="1"/>
  <c r="D13" i="5"/>
  <c r="E13" i="5" s="1"/>
  <c r="H9" i="5"/>
  <c r="I9" i="5" s="1"/>
  <c r="D8" i="5"/>
  <c r="E8" i="5" s="1"/>
  <c r="H8" i="5"/>
  <c r="I8" i="5" s="1"/>
  <c r="D5" i="5"/>
  <c r="E5" i="5" s="1"/>
  <c r="D6" i="5"/>
  <c r="E6" i="5" s="1"/>
  <c r="H4" i="5"/>
  <c r="I4" i="5" s="1"/>
  <c r="H11" i="5"/>
  <c r="I11" i="5" s="1"/>
  <c r="D10" i="5"/>
  <c r="E10" i="5" s="1"/>
  <c r="H10" i="5"/>
  <c r="I10" i="5" s="1"/>
  <c r="H7" i="5"/>
  <c r="I7" i="5" s="1"/>
  <c r="H14" i="5"/>
  <c r="I14" i="5" s="1"/>
  <c r="D4" i="5"/>
  <c r="E4" i="5" s="1"/>
  <c r="D12" i="5"/>
  <c r="E12" i="5" s="1"/>
  <c r="H12" i="5"/>
  <c r="I12" i="5" s="1"/>
  <c r="D11" i="5"/>
  <c r="E11" i="5" s="1"/>
  <c r="D3" i="5"/>
  <c r="E3" i="5" s="1"/>
  <c r="H3" i="5"/>
  <c r="I3" i="5" s="1"/>
  <c r="D14" i="5"/>
  <c r="E14" i="5" s="1"/>
  <c r="D7" i="5"/>
  <c r="E7" i="5" s="1"/>
</calcChain>
</file>

<file path=xl/sharedStrings.xml><?xml version="1.0" encoding="utf-8"?>
<sst xmlns="http://schemas.openxmlformats.org/spreadsheetml/2006/main" count="1005" uniqueCount="313">
  <si>
    <t>Group</t>
  </si>
  <si>
    <t>Pot</t>
  </si>
  <si>
    <t>Team</t>
  </si>
  <si>
    <t>Confederation</t>
  </si>
  <si>
    <t>A</t>
  </si>
  <si>
    <t>Mexico</t>
  </si>
  <si>
    <t>CONCACAF (host)</t>
  </si>
  <si>
    <t>South Korea</t>
  </si>
  <si>
    <t>AFC</t>
  </si>
  <si>
    <t>South Africa</t>
  </si>
  <si>
    <t>CAF</t>
  </si>
  <si>
    <t>Czechia</t>
  </si>
  <si>
    <t>UEFA</t>
  </si>
  <si>
    <t>B</t>
  </si>
  <si>
    <t>Canada</t>
  </si>
  <si>
    <t>Switzerland</t>
  </si>
  <si>
    <t>Qatar</t>
  </si>
  <si>
    <t>Bosnia &amp; Herzegovina</t>
  </si>
  <si>
    <t>C</t>
  </si>
  <si>
    <t>Brazil</t>
  </si>
  <si>
    <t>CONMEBOL</t>
  </si>
  <si>
    <t>Morocco</t>
  </si>
  <si>
    <t>Scotland</t>
  </si>
  <si>
    <t>Haiti</t>
  </si>
  <si>
    <t>CONCACAF</t>
  </si>
  <si>
    <t>D</t>
  </si>
  <si>
    <t>United States</t>
  </si>
  <si>
    <t>Paraguay</t>
  </si>
  <si>
    <t>Australia</t>
  </si>
  <si>
    <t>Türkiye</t>
  </si>
  <si>
    <t>E</t>
  </si>
  <si>
    <t>Germany</t>
  </si>
  <si>
    <t>Ecuador</t>
  </si>
  <si>
    <t>Côte d'Ivoire</t>
  </si>
  <si>
    <t>Curaçao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</si>
  <si>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</si>
  <si>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</si>
  <si>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</si>
  <si>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</si>
  <si>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</si>
  <si>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</si>
  <si>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</si>
  <si>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</si>
  <si>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</si>
  <si>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</si>
  <si>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OFC</t>
  </si>
  <si>
    <t>H</t>
  </si>
  <si>
    <t>Spain</t>
  </si>
  <si>
    <t>Uruguay</t>
  </si>
  <si>
    <t>Saudi Arabia</t>
  </si>
  <si>
    <t>Cabo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</si>
  <si>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</si>
  <si>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</si>
  <si>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</si>
  <si>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</si>
  <si>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</si>
  <si>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</si>
  <si>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</si>
  <si>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</si>
  <si>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</si>
  <si>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</si>
  <si>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</si>
  <si>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</si>
  <si>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</si>
  <si>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</si>
  <si>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</si>
  <si>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</si>
  <si>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</si>
  <si>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</si>
  <si>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</si>
  <si>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</si>
  <si>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GROUP STAGE — enter predicted (ex ante) and actual (ex post) scores in the yellow cells</t>
  </si>
  <si>
    <t>#</t>
  </si>
  <si>
    <t>Date</t>
  </si>
  <si>
    <t>Grp</t>
  </si>
  <si>
    <t>Team 1</t>
  </si>
  <si>
    <t>Team 2</t>
  </si>
  <si>
    <t>Ante T1</t>
  </si>
  <si>
    <t>Ante T2</t>
  </si>
  <si>
    <t>Ante Winner</t>
  </si>
  <si>
    <t>Ante Loser</t>
  </si>
  <si>
    <t>Post T1</t>
  </si>
  <si>
    <t>Post T2</t>
  </si>
  <si>
    <t>Post Winner</t>
  </si>
  <si>
    <t>Post Loser</t>
  </si>
  <si>
    <t>T1 err</t>
  </si>
  <si>
    <t>T2 err</t>
  </si>
  <si>
    <t>Outcome hit</t>
  </si>
  <si>
    <t>Jun 11</t>
  </si>
  <si>
    <t>Jun 12</t>
  </si>
  <si>
    <t>Jun 13</t>
  </si>
  <si>
    <t>Jun 14</t>
  </si>
  <si>
    <t>Jun 15</t>
  </si>
  <si>
    <t>Jun 16</t>
  </si>
  <si>
    <t>Jun 17</t>
  </si>
  <si>
    <t>Jun 18</t>
  </si>
  <si>
    <t>Jun 19</t>
  </si>
  <si>
    <t>Jun 20</t>
  </si>
  <si>
    <t>Jun 21</t>
  </si>
  <si>
    <t>Jun 22</t>
  </si>
  <si>
    <t>Jun 23</t>
  </si>
  <si>
    <t>Jun 24</t>
  </si>
  <si>
    <t>Jun 25</t>
  </si>
  <si>
    <t>Jun 26</t>
  </si>
  <si>
    <t>Jun 27</t>
  </si>
  <si>
    <t>Opp</t>
  </si>
  <si>
    <t>aGF</t>
  </si>
  <si>
    <t>aGA</t>
  </si>
  <si>
    <t>aPld</t>
  </si>
  <si>
    <t>aW</t>
  </si>
  <si>
    <t>aD</t>
  </si>
  <si>
    <t>aL</t>
  </si>
  <si>
    <t>aPts</t>
  </si>
  <si>
    <t>pGF</t>
  </si>
  <si>
    <t>pGA</t>
  </si>
  <si>
    <t>pPld</t>
  </si>
  <si>
    <t>pW</t>
  </si>
  <si>
    <t>pD</t>
  </si>
  <si>
    <t>pL</t>
  </si>
  <si>
    <t>pPts</t>
  </si>
  <si>
    <t>GROUP STANDINGS  —  Ex Ante (predicted)  vs  Ex Post (actual). Use 'Nudge' (blue) only to break true ties.</t>
  </si>
  <si>
    <t>Pld</t>
  </si>
  <si>
    <t>W</t>
  </si>
  <si>
    <t>GF</t>
  </si>
  <si>
    <t>GA</t>
  </si>
  <si>
    <t>GD</t>
  </si>
  <si>
    <t>Pts</t>
  </si>
  <si>
    <t>Nudge</t>
  </si>
  <si>
    <t>Key</t>
  </si>
  <si>
    <t>Rk</t>
  </si>
  <si>
    <t>Pos</t>
  </si>
  <si>
    <t>QUALIFICATION LOOKUP (auto)</t>
  </si>
  <si>
    <t>Win(ante)</t>
  </si>
  <si>
    <t>RU(ante)</t>
  </si>
  <si>
    <t>3rd(ante)</t>
  </si>
  <si>
    <t>Win(post)</t>
  </si>
  <si>
    <t>RU(post)</t>
  </si>
  <si>
    <t>3rd(post)</t>
  </si>
  <si>
    <t>THIRD-PLACE RANKING (auto): top 8 of 12 qualify</t>
  </si>
  <si>
    <t>3rd team (ante)</t>
  </si>
  <si>
    <t>Key(ante)</t>
  </si>
  <si>
    <t>Rk(ante)</t>
  </si>
  <si>
    <t>Status(ante)</t>
  </si>
  <si>
    <t>3rd team (post)</t>
  </si>
  <si>
    <t>Key(post)</t>
  </si>
  <si>
    <t>Rk(post)</t>
  </si>
  <si>
    <t>Status(post)</t>
  </si>
  <si>
    <t>3RD-PLACE → R32 SLOT ASSIGNMENT  (pick a group in the blue cells; must be a 'Q' group from its candidate set)</t>
  </si>
  <si>
    <t>R32 Match</t>
  </si>
  <si>
    <t>Candidate groups</t>
  </si>
  <si>
    <t>Pick (ante)</t>
  </si>
  <si>
    <t>Team (ante)</t>
  </si>
  <si>
    <t>Check (ante)</t>
  </si>
  <si>
    <t>Pick (post)</t>
  </si>
  <si>
    <t>Team (post)</t>
  </si>
  <si>
    <t>Check (post)</t>
  </si>
  <si>
    <t>M74</t>
  </si>
  <si>
    <t>A,B,C,D,F</t>
  </si>
  <si>
    <t>M77</t>
  </si>
  <si>
    <t>C,D,F,G,H</t>
  </si>
  <si>
    <t>M79</t>
  </si>
  <si>
    <t>C,E,F,H,I</t>
  </si>
  <si>
    <t>M80</t>
  </si>
  <si>
    <t>E,H,I,J,K</t>
  </si>
  <si>
    <t>M81</t>
  </si>
  <si>
    <t>B,E,F,I,J</t>
  </si>
  <si>
    <t>M82</t>
  </si>
  <si>
    <t>A,E,H,I,J</t>
  </si>
  <si>
    <t>M85</t>
  </si>
  <si>
    <t>E,F,G,I,J</t>
  </si>
  <si>
    <t>M87</t>
  </si>
  <si>
    <t>D,E,I,J,L</t>
  </si>
  <si>
    <t>KNOCKOUT BRACKET — Ex Ante (left) vs Ex Post (right). Enter scores in yellow; set PK winner (H/A) only if a tie.</t>
  </si>
  <si>
    <t>Round</t>
  </si>
  <si>
    <t>Home slot</t>
  </si>
  <si>
    <t>Away slot</t>
  </si>
  <si>
    <t>Home (ante)</t>
  </si>
  <si>
    <t>Away (ante)</t>
  </si>
  <si>
    <t>PK</t>
  </si>
  <si>
    <t>Win (ante)</t>
  </si>
  <si>
    <t>Lose (ante)</t>
  </si>
  <si>
    <t>Home (post)</t>
  </si>
  <si>
    <t>Away (post)</t>
  </si>
  <si>
    <t>Win (post)</t>
  </si>
  <si>
    <t>Lose (post)</t>
  </si>
  <si>
    <t>✓?</t>
  </si>
  <si>
    <t>Round of 32</t>
  </si>
  <si>
    <t>Jun 28</t>
  </si>
  <si>
    <t>Runner-up A</t>
  </si>
  <si>
    <t>Runner-up B</t>
  </si>
  <si>
    <t>Jun 29</t>
  </si>
  <si>
    <t>Winner E</t>
  </si>
  <si>
    <t>3rd → M74</t>
  </si>
  <si>
    <t>Winner F</t>
  </si>
  <si>
    <t>Runner-up C</t>
  </si>
  <si>
    <t>Winner C</t>
  </si>
  <si>
    <t>Runner-up F</t>
  </si>
  <si>
    <t>Jun 30</t>
  </si>
  <si>
    <t>Winner I</t>
  </si>
  <si>
    <t>3rd → M77</t>
  </si>
  <si>
    <t>Runner-up E</t>
  </si>
  <si>
    <t>Runner-up I</t>
  </si>
  <si>
    <t>Winner A</t>
  </si>
  <si>
    <t>3rd → M79</t>
  </si>
  <si>
    <t>Jul 1</t>
  </si>
  <si>
    <t>Winner L</t>
  </si>
  <si>
    <t>3rd → M80</t>
  </si>
  <si>
    <t>Winner D</t>
  </si>
  <si>
    <t>3rd → M81</t>
  </si>
  <si>
    <t>Winner G</t>
  </si>
  <si>
    <t>3rd → M82</t>
  </si>
  <si>
    <t>Jul 2</t>
  </si>
  <si>
    <t>Runner-up K</t>
  </si>
  <si>
    <t>Runner-up L</t>
  </si>
  <si>
    <t>Winner H</t>
  </si>
  <si>
    <t>Runner-up J</t>
  </si>
  <si>
    <t>Winner B</t>
  </si>
  <si>
    <t>3rd → M85</t>
  </si>
  <si>
    <t>Jul 3</t>
  </si>
  <si>
    <t>Winner J</t>
  </si>
  <si>
    <t>Runner-up H</t>
  </si>
  <si>
    <t>Winner K</t>
  </si>
  <si>
    <t>3rd → M87</t>
  </si>
  <si>
    <t>Runner-up D</t>
  </si>
  <si>
    <t>Runner-up G</t>
  </si>
  <si>
    <t>Round of 16</t>
  </si>
  <si>
    <t>Jul 4</t>
  </si>
  <si>
    <t>Winner M74</t>
  </si>
  <si>
    <t>Winner M77</t>
  </si>
  <si>
    <t>Winner M73</t>
  </si>
  <si>
    <t>Winner M75</t>
  </si>
  <si>
    <t>Jul 5</t>
  </si>
  <si>
    <t>Winner M76</t>
  </si>
  <si>
    <t>Winner M78</t>
  </si>
  <si>
    <t>Winner M79</t>
  </si>
  <si>
    <t>Winner M80</t>
  </si>
  <si>
    <t>Jul 6</t>
  </si>
  <si>
    <t>Winner M83</t>
  </si>
  <si>
    <t>Winner M84</t>
  </si>
  <si>
    <t>Winner M81</t>
  </si>
  <si>
    <t>Winner M82</t>
  </si>
  <si>
    <t>Jul 7</t>
  </si>
  <si>
    <t>Winner M86</t>
  </si>
  <si>
    <t>Winner M88</t>
  </si>
  <si>
    <t>Winner M85</t>
  </si>
  <si>
    <t>Winner M87</t>
  </si>
  <si>
    <t>Quarterfinal</t>
  </si>
  <si>
    <t>Jul 9</t>
  </si>
  <si>
    <t>Winner M89</t>
  </si>
  <si>
    <t>Winner M90</t>
  </si>
  <si>
    <t>Jul 10</t>
  </si>
  <si>
    <t>Winner M93</t>
  </si>
  <si>
    <t>Winner M94</t>
  </si>
  <si>
    <t>Jul 11</t>
  </si>
  <si>
    <t>Winner M91</t>
  </si>
  <si>
    <t>Winner M92</t>
  </si>
  <si>
    <t>Winner M95</t>
  </si>
  <si>
    <t>Winner M96</t>
  </si>
  <si>
    <t>Semifinal</t>
  </si>
  <si>
    <t>Jul 14</t>
  </si>
  <si>
    <t>Winner M97</t>
  </si>
  <si>
    <t>Winner M98</t>
  </si>
  <si>
    <t>Jul 15</t>
  </si>
  <si>
    <t>Winner M99</t>
  </si>
  <si>
    <t>Winner M100</t>
  </si>
  <si>
    <t>Third place</t>
  </si>
  <si>
    <t>Jul 18</t>
  </si>
  <si>
    <t>Loser M101</t>
  </si>
  <si>
    <t>Loser M102</t>
  </si>
  <si>
    <t>Final</t>
  </si>
  <si>
    <t>Jul 19</t>
  </si>
  <si>
    <t>Winner M101</t>
  </si>
  <si>
    <t>Winner M102</t>
  </si>
  <si>
    <t>PREDICTION SCORECARD (ex ante vs ex post)</t>
  </si>
  <si>
    <t>Group matches scored (ex post)</t>
  </si>
  <si>
    <t>Exact-score hits (both goals correct)</t>
  </si>
  <si>
    <t>Correct outcomes (W/D/L)</t>
  </si>
  <si>
    <t>Outcome hit-rate</t>
  </si>
  <si>
    <t>Total goal error (Σ|err|, group stage)</t>
  </si>
  <si>
    <t>Mean abs. goal error / match</t>
  </si>
  <si>
    <t>Knockout — correct winners (ante vs post)</t>
  </si>
  <si>
    <t>Round of 32 (of 16)</t>
  </si>
  <si>
    <t>Round of 16 (of 8)</t>
  </si>
  <si>
    <t>Quarterfinals (of 4)</t>
  </si>
  <si>
    <t>Semifinals (of 2)</t>
  </si>
  <si>
    <t>Final + 3rd place (of 2)</t>
  </si>
  <si>
    <t>Predicted champion (ante)</t>
  </si>
  <si>
    <t>Actual champion (post)</t>
  </si>
  <si>
    <t>World Cup 2026 — Ex Ante / Ex Post Prediction Engine</t>
  </si>
  <si>
    <t>How to use</t>
  </si>
  <si>
    <t>1</t>
  </si>
  <si>
    <t>Group Matches: type predicted scores in 'Ante T1/T2' and actual scores in 'Post T1/T2' (yellow). Winner/Loser/error auto-fill.</t>
  </si>
  <si>
    <t>2</t>
  </si>
  <si>
    <t>Standings: recompute automatically for both ante &amp; post. 'Pos' gives 1st/2nd/3rd/4th. Use 'Nudge' only to break exact Pts/GD/GF ties.</t>
  </si>
  <si>
    <t>3</t>
  </si>
  <si>
    <t>3rd Place + Alloc: top-8 third-place teams flagged automatically. In the blue 'Pick' cells, assign a qualified group to each R32 slot; 'Check' must read OK.</t>
  </si>
  <si>
    <t>4</t>
  </si>
  <si>
    <t>Knockout Bracket: enter ante &amp; post scores per tie; bracket propagates to the Final. Set 'PK' (H/A) only when a knockout tie is level.</t>
  </si>
  <si>
    <t>5</t>
  </si>
  <si>
    <t>Dashboard: live scorecard of prediction accuracy.</t>
  </si>
  <si>
    <t>Design choices / caveats</t>
  </si>
  <si>
    <t>Tiebreakers</t>
  </si>
  <si>
    <t>Automated as Points → Goal Difference → Goals For (+ manual Nudge). FIFA's full head-to-head mini-league is NOT encoded.</t>
  </si>
  <si>
    <t>3rd-place allocation</t>
  </si>
  <si>
    <t>Qualification (top 8) is automated; slot assignment is manual by design — FIFA's official table has 495 combinations and is error-prone in formulas.</t>
  </si>
  <si>
    <t>Knockout ties</t>
  </si>
  <si>
    <t>No draws allowed; winner = higher score, or the PK pick if level.</t>
  </si>
  <si>
    <t>Default state</t>
  </si>
  <si>
    <t>With no inputs, ranks fall back to pot order (seeded), so the bracket pre-fills with pot-1/2 teams — that just demonstrates the wiring.</t>
  </si>
  <si>
    <t>Bracket source</t>
  </si>
  <si>
    <t>FIFA official match-numbered draw (matches 1–104); knockout feeder tree per Bleacher Report / FIFA, accessed 22 May 2026.</t>
  </si>
  <si>
    <t>For Monte Carlo</t>
  </si>
  <si>
    <t>The hidden 'ENG_Long' sheet + Groups list are the clean inputs. MC belongs in Python/R reading these tables — not in Excel formulas.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</si>
</sst>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3"/>
      <color rgb="FF1F3864"/>
      <name val="Arial"/>
      <family val="2"/>
    </font>
    <font>
      <b/>
      <sz val="14"/>
      <color rgb="FF1F3864"/>
      <name val="Arial"/>
      <family val="2"/>
    </font>
    <font>
      <sz val="8"/>
      <color theme="1"/>
      <name val="Calibri"/>
      <family val="2"/>
      <charset val="1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0"/>
      <color rgb="FF00B050"/>
      <name val="Arial"/>
      <family val="2"/>
    </font>
    <font>
      <sz val="8"/>
      <color theme="9" tint="-0.249977111117893"/>
      <name val="Arial"/>
      <family val="2"/>
    </font>
    <font>
      <sz val="8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2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4" fontId="3" fillId="0" borderId="0" xfId="0" applyNumberFormat="1" applyFont="1" applyAlignment="1">
      <alignment horizontal="center" vertical="center"/>
    </xf>
    <xf numFmtId="4" fontId="0" fillId="0" borderId="0" xfId="0" applyNumberFormat="1"/>
    <xf numFmtId="4" fontId="3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3" fillId="23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left" vertical="center"/>
    </xf>
    <xf numFmtId="0" fontId="3" fillId="27" borderId="1" xfId="0" applyFont="1" applyFill="1" applyBorder="1" applyAlignment="1">
      <alignment horizontal="left" vertical="center"/>
    </xf>
    <xf numFmtId="0" fontId="7" fillId="0" borderId="0" xfId="0" applyFont="1"/>
    <xf numFmtId="0" fontId="8" fillId="29" borderId="1" xfId="1" applyBorder="1" applyAlignment="1">
      <alignment horizontal="center" vertical="center"/>
    </xf>
    <xf numFmtId="0" fontId="9" fillId="30" borderId="1" xfId="2" applyBorder="1" applyAlignment="1">
      <alignment horizontal="center" vertical="center"/>
    </xf>
    <xf numFmtId="0" fontId="8" fillId="29" borderId="1" xfId="1" applyBorder="1" applyAlignment="1">
      <alignment horizontal="left" vertical="center"/>
    </xf>
    <xf numFmtId="0" fontId="10" fillId="31" borderId="1" xfId="3" applyBorder="1" applyAlignment="1">
      <alignment horizontal="left" vertical="center"/>
    </xf>
    <xf numFmtId="0" fontId="9" fillId="30" borderId="1" xfId="2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6" customWidth="1"/>
    <col min="3" max="3" width="24" customWidth="1"/>
    <col min="4" max="4" width="2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1</v>
      </c>
      <c r="C2" s="3" t="s">
        <v>5</v>
      </c>
      <c r="D2" s="3" t="s">
        <v>6</v>
      </c>
    </row>
    <row r="3" spans="1:4" x14ac:dyDescent="0.2">
      <c r="A3" s="2" t="s">
        <v>4</v>
      </c>
      <c r="B3" s="2">
        <v>2</v>
      </c>
      <c r="C3" s="3" t="s">
        <v>7</v>
      </c>
      <c r="D3" s="3" t="s">
        <v>8</v>
      </c>
    </row>
    <row r="4" spans="1:4" x14ac:dyDescent="0.2">
      <c r="A4" s="2" t="s">
        <v>4</v>
      </c>
      <c r="B4" s="2">
        <v>3</v>
      </c>
      <c r="C4" s="3" t="s">
        <v>9</v>
      </c>
      <c r="D4" s="3" t="s">
        <v>10</v>
      </c>
    </row>
    <row r="5" spans="1:4" x14ac:dyDescent="0.2">
      <c r="A5" s="2" t="s">
        <v>4</v>
      </c>
      <c r="B5" s="2">
        <v>4</v>
      </c>
      <c r="C5" s="3" t="s">
        <v>11</v>
      </c>
      <c r="D5" s="3" t="s">
        <v>12</v>
      </c>
    </row>
    <row r="6" spans="1:4" x14ac:dyDescent="0.2">
      <c r="A6" s="2" t="s">
        <v>13</v>
      </c>
      <c r="B6" s="2">
        <v>1</v>
      </c>
      <c r="C6" s="3" t="s">
        <v>14</v>
      </c>
      <c r="D6" s="3" t="s">
        <v>6</v>
      </c>
    </row>
    <row r="7" spans="1:4" x14ac:dyDescent="0.2">
      <c r="A7" s="2" t="s">
        <v>13</v>
      </c>
      <c r="B7" s="2">
        <v>2</v>
      </c>
      <c r="C7" s="3" t="s">
        <v>15</v>
      </c>
      <c r="D7" s="3" t="s">
        <v>12</v>
      </c>
    </row>
    <row r="8" spans="1:4" x14ac:dyDescent="0.2">
      <c r="A8" s="2" t="s">
        <v>13</v>
      </c>
      <c r="B8" s="2">
        <v>3</v>
      </c>
      <c r="C8" s="3" t="s">
        <v>16</v>
      </c>
      <c r="D8" s="3" t="s">
        <v>8</v>
      </c>
    </row>
    <row r="9" spans="1:4" x14ac:dyDescent="0.2">
      <c r="A9" s="2" t="s">
        <v>13</v>
      </c>
      <c r="B9" s="2">
        <v>4</v>
      </c>
      <c r="C9" s="3" t="s">
        <v>17</v>
      </c>
      <c r="D9" s="3" t="s">
        <v>12</v>
      </c>
    </row>
    <row r="10" spans="1:4" x14ac:dyDescent="0.2">
      <c r="A10" s="2" t="s">
        <v>18</v>
      </c>
      <c r="B10" s="2">
        <v>1</v>
      </c>
      <c r="C10" s="3" t="s">
        <v>19</v>
      </c>
      <c r="D10" s="3" t="s">
        <v>20</v>
      </c>
    </row>
    <row r="11" spans="1:4" x14ac:dyDescent="0.2">
      <c r="A11" s="2" t="s">
        <v>18</v>
      </c>
      <c r="B11" s="2">
        <v>2</v>
      </c>
      <c r="C11" s="3" t="s">
        <v>21</v>
      </c>
      <c r="D11" s="3" t="s">
        <v>10</v>
      </c>
    </row>
    <row r="12" spans="1:4" x14ac:dyDescent="0.2">
      <c r="A12" s="2" t="s">
        <v>18</v>
      </c>
      <c r="B12" s="2">
        <v>3</v>
      </c>
      <c r="C12" s="3" t="s">
        <v>22</v>
      </c>
      <c r="D12" s="3" t="s">
        <v>12</v>
      </c>
    </row>
    <row r="13" spans="1:4" x14ac:dyDescent="0.2">
      <c r="A13" s="2" t="s">
        <v>18</v>
      </c>
      <c r="B13" s="2">
        <v>4</v>
      </c>
      <c r="C13" s="3" t="s">
        <v>23</v>
      </c>
      <c r="D13" s="3" t="s">
        <v>24</v>
      </c>
    </row>
    <row r="14" spans="1:4" x14ac:dyDescent="0.2">
      <c r="A14" s="2" t="s">
        <v>25</v>
      </c>
      <c r="B14" s="2">
        <v>1</v>
      </c>
      <c r="C14" s="3" t="s">
        <v>26</v>
      </c>
      <c r="D14" s="3" t="s">
        <v>6</v>
      </c>
    </row>
    <row r="15" spans="1:4" x14ac:dyDescent="0.2">
      <c r="A15" s="2" t="s">
        <v>25</v>
      </c>
      <c r="B15" s="2">
        <v>2</v>
      </c>
      <c r="C15" s="3" t="s">
        <v>27</v>
      </c>
      <c r="D15" s="3" t="s">
        <v>20</v>
      </c>
    </row>
    <row r="16" spans="1:4" x14ac:dyDescent="0.2">
      <c r="A16" s="2" t="s">
        <v>25</v>
      </c>
      <c r="B16" s="2">
        <v>3</v>
      </c>
      <c r="C16" s="3" t="s">
        <v>28</v>
      </c>
      <c r="D16" s="3" t="s">
        <v>8</v>
      </c>
    </row>
    <row r="17" spans="1:4" x14ac:dyDescent="0.2">
      <c r="A17" s="2" t="s">
        <v>25</v>
      </c>
      <c r="B17" s="2">
        <v>4</v>
      </c>
      <c r="C17" s="3" t="s">
        <v>29</v>
      </c>
      <c r="D17" s="3" t="s">
        <v>12</v>
      </c>
    </row>
    <row r="18" spans="1:4" x14ac:dyDescent="0.2">
      <c r="A18" s="2" t="s">
        <v>30</v>
      </c>
      <c r="B18" s="2">
        <v>1</v>
      </c>
      <c r="C18" s="3" t="s">
        <v>31</v>
      </c>
      <c r="D18" s="3" t="s">
        <v>12</v>
      </c>
    </row>
    <row r="19" spans="1:4" x14ac:dyDescent="0.2">
      <c r="A19" s="2" t="s">
        <v>30</v>
      </c>
      <c r="B19" s="2">
        <v>2</v>
      </c>
      <c r="C19" s="3" t="s">
        <v>32</v>
      </c>
      <c r="D19" s="3" t="s">
        <v>20</v>
      </c>
    </row>
    <row r="20" spans="1:4" x14ac:dyDescent="0.2">
      <c r="A20" s="2" t="s">
        <v>30</v>
      </c>
      <c r="B20" s="2">
        <v>3</v>
      </c>
      <c r="C20" s="3" t="s">
        <v>33</v>
      </c>
      <c r="D20" s="3" t="s">
        <v>10</v>
      </c>
    </row>
    <row r="21" spans="1:4" x14ac:dyDescent="0.2">
      <c r="A21" s="2" t="s">
        <v>30</v>
      </c>
      <c r="B21" s="2">
        <v>4</v>
      </c>
      <c r="C21" s="3" t="s">
        <v>34</v>
      </c>
      <c r="D21" s="3" t="s">
        <v>24</v>
      </c>
    </row>
    <row r="22" spans="1:4" x14ac:dyDescent="0.2">
      <c r="A22" s="2" t="s">
        <v>35</v>
      </c>
      <c r="B22" s="2">
        <v>1</v>
      </c>
      <c r="C22" s="3" t="s">
        <v>36</v>
      </c>
      <c r="D22" s="3" t="s">
        <v>12</v>
      </c>
    </row>
    <row r="23" spans="1:4" x14ac:dyDescent="0.2">
      <c r="A23" s="2" t="s">
        <v>35</v>
      </c>
      <c r="B23" s="2">
        <v>2</v>
      </c>
      <c r="C23" s="3" t="s">
        <v>37</v>
      </c>
      <c r="D23" s="3" t="s">
        <v>8</v>
      </c>
    </row>
    <row r="24" spans="1:4" x14ac:dyDescent="0.2">
      <c r="A24" s="2" t="s">
        <v>35</v>
      </c>
      <c r="B24" s="2">
        <v>3</v>
      </c>
      <c r="C24" s="3" t="s">
        <v>38</v>
      </c>
      <c r="D24" s="3" t="s">
        <v>10</v>
      </c>
    </row>
    <row r="25" spans="1:4" x14ac:dyDescent="0.2">
      <c r="A25" s="2" t="s">
        <v>35</v>
      </c>
      <c r="B25" s="2">
        <v>4</v>
      </c>
      <c r="C25" s="3" t="s">
        <v>39</v>
      </c>
      <c r="D25" s="3" t="s">
        <v>12</v>
      </c>
    </row>
    <row r="26" spans="1:4" x14ac:dyDescent="0.2">
      <c r="A26" s="2" t="s">
        <v>40</v>
      </c>
      <c r="B26" s="2">
        <v>1</v>
      </c>
      <c r="C26" s="3" t="s">
        <v>41</v>
      </c>
      <c r="D26" s="3" t="s">
        <v>12</v>
      </c>
    </row>
    <row r="27" spans="1:4" x14ac:dyDescent="0.2">
      <c r="A27" s="2" t="s">
        <v>40</v>
      </c>
      <c r="B27" s="2">
        <v>2</v>
      </c>
      <c r="C27" s="3" t="s">
        <v>42</v>
      </c>
      <c r="D27" s="3" t="s">
        <v>8</v>
      </c>
    </row>
    <row r="28" spans="1:4" x14ac:dyDescent="0.2">
      <c r="A28" s="2" t="s">
        <v>40</v>
      </c>
      <c r="B28" s="2">
        <v>3</v>
      </c>
      <c r="C28" s="3" t="s">
        <v>43</v>
      </c>
      <c r="D28" s="3" t="s">
        <v>10</v>
      </c>
    </row>
    <row r="29" spans="1:4" x14ac:dyDescent="0.2">
      <c r="A29" s="2" t="s">
        <v>40</v>
      </c>
      <c r="B29" s="2">
        <v>4</v>
      </c>
      <c r="C29" s="3" t="s">
        <v>44</v>
      </c>
      <c r="D29" s="3" t="s">
        <v>45</v>
      </c>
    </row>
    <row r="30" spans="1:4" x14ac:dyDescent="0.2">
      <c r="A30" s="2" t="s">
        <v>46</v>
      </c>
      <c r="B30" s="2">
        <v>1</v>
      </c>
      <c r="C30" s="3" t="s">
        <v>47</v>
      </c>
      <c r="D30" s="3" t="s">
        <v>12</v>
      </c>
    </row>
    <row r="31" spans="1:4" x14ac:dyDescent="0.2">
      <c r="A31" s="2" t="s">
        <v>46</v>
      </c>
      <c r="B31" s="2">
        <v>2</v>
      </c>
      <c r="C31" s="3" t="s">
        <v>48</v>
      </c>
      <c r="D31" s="3" t="s">
        <v>20</v>
      </c>
    </row>
    <row r="32" spans="1:4" x14ac:dyDescent="0.2">
      <c r="A32" s="2" t="s">
        <v>46</v>
      </c>
      <c r="B32" s="2">
        <v>3</v>
      </c>
      <c r="C32" s="3" t="s">
        <v>49</v>
      </c>
      <c r="D32" s="3" t="s">
        <v>8</v>
      </c>
    </row>
    <row r="33" spans="1:4" x14ac:dyDescent="0.2">
      <c r="A33" s="2" t="s">
        <v>46</v>
      </c>
      <c r="B33" s="2">
        <v>4</v>
      </c>
      <c r="C33" s="3" t="s">
        <v>50</v>
      </c>
      <c r="D33" s="3" t="s">
        <v>10</v>
      </c>
    </row>
    <row r="34" spans="1:4" x14ac:dyDescent="0.2">
      <c r="A34" s="2" t="s">
        <v>51</v>
      </c>
      <c r="B34" s="2">
        <v>1</v>
      </c>
      <c r="C34" s="3" t="s">
        <v>52</v>
      </c>
      <c r="D34" s="3" t="s">
        <v>12</v>
      </c>
    </row>
    <row r="35" spans="1:4" x14ac:dyDescent="0.2">
      <c r="A35" s="2" t="s">
        <v>51</v>
      </c>
      <c r="B35" s="2">
        <v>2</v>
      </c>
      <c r="C35" s="3" t="s">
        <v>53</v>
      </c>
      <c r="D35" s="3" t="s">
        <v>10</v>
      </c>
    </row>
    <row r="36" spans="1:4" x14ac:dyDescent="0.2">
      <c r="A36" s="2" t="s">
        <v>51</v>
      </c>
      <c r="B36" s="2">
        <v>3</v>
      </c>
      <c r="C36" s="3" t="s">
        <v>54</v>
      </c>
      <c r="D36" s="3" t="s">
        <v>12</v>
      </c>
    </row>
    <row r="37" spans="1:4" x14ac:dyDescent="0.2">
      <c r="A37" s="2" t="s">
        <v>51</v>
      </c>
      <c r="B37" s="2">
        <v>4</v>
      </c>
      <c r="C37" s="3" t="s">
        <v>55</v>
      </c>
      <c r="D37" s="3" t="s">
        <v>8</v>
      </c>
    </row>
    <row r="38" spans="1:4" x14ac:dyDescent="0.2">
      <c r="A38" s="2" t="s">
        <v>56</v>
      </c>
      <c r="B38" s="2">
        <v>1</v>
      </c>
      <c r="C38" s="3" t="s">
        <v>57</v>
      </c>
      <c r="D38" s="3" t="s">
        <v>20</v>
      </c>
    </row>
    <row r="39" spans="1:4" x14ac:dyDescent="0.2">
      <c r="A39" s="2" t="s">
        <v>56</v>
      </c>
      <c r="B39" s="2">
        <v>2</v>
      </c>
      <c r="C39" s="3" t="s">
        <v>58</v>
      </c>
      <c r="D39" s="3" t="s">
        <v>12</v>
      </c>
    </row>
    <row r="40" spans="1:4" x14ac:dyDescent="0.2">
      <c r="A40" s="2" t="s">
        <v>56</v>
      </c>
      <c r="B40" s="2">
        <v>3</v>
      </c>
      <c r="C40" s="3" t="s">
        <v>59</v>
      </c>
      <c r="D40" s="3" t="s">
        <v>10</v>
      </c>
    </row>
    <row r="41" spans="1:4" x14ac:dyDescent="0.2">
      <c r="A41" s="2" t="s">
        <v>56</v>
      </c>
      <c r="B41" s="2">
        <v>4</v>
      </c>
      <c r="C41" s="3" t="s">
        <v>60</v>
      </c>
      <c r="D41" s="3" t="s">
        <v>8</v>
      </c>
    </row>
    <row r="42" spans="1:4" x14ac:dyDescent="0.2">
      <c r="A42" s="2" t="s">
        <v>61</v>
      </c>
      <c r="B42" s="2">
        <v>1</v>
      </c>
      <c r="C42" s="3" t="s">
        <v>62</v>
      </c>
      <c r="D42" s="3" t="s">
        <v>12</v>
      </c>
    </row>
    <row r="43" spans="1:4" x14ac:dyDescent="0.2">
      <c r="A43" s="2" t="s">
        <v>61</v>
      </c>
      <c r="B43" s="2">
        <v>2</v>
      </c>
      <c r="C43" s="3" t="s">
        <v>63</v>
      </c>
      <c r="D43" s="3" t="s">
        <v>20</v>
      </c>
    </row>
    <row r="44" spans="1:4" x14ac:dyDescent="0.2">
      <c r="A44" s="2" t="s">
        <v>61</v>
      </c>
      <c r="B44" s="2">
        <v>3</v>
      </c>
      <c r="C44" s="3" t="s">
        <v>64</v>
      </c>
      <c r="D44" s="3" t="s">
        <v>8</v>
      </c>
    </row>
    <row r="45" spans="1:4" x14ac:dyDescent="0.2">
      <c r="A45" s="2" t="s">
        <v>61</v>
      </c>
      <c r="B45" s="2">
        <v>4</v>
      </c>
      <c r="C45" s="3" t="s">
        <v>65</v>
      </c>
      <c r="D45" s="3" t="s">
        <v>10</v>
      </c>
    </row>
    <row r="46" spans="1:4" x14ac:dyDescent="0.2">
      <c r="A46" s="2" t="s">
        <v>66</v>
      </c>
      <c r="B46" s="2">
        <v>1</v>
      </c>
      <c r="C46" s="3" t="s">
        <v>67</v>
      </c>
      <c r="D46" s="3" t="s">
        <v>12</v>
      </c>
    </row>
    <row r="47" spans="1:4" x14ac:dyDescent="0.2">
      <c r="A47" s="2" t="s">
        <v>66</v>
      </c>
      <c r="B47" s="2">
        <v>2</v>
      </c>
      <c r="C47" s="3" t="s">
        <v>68</v>
      </c>
      <c r="D47" s="3" t="s">
        <v>12</v>
      </c>
    </row>
    <row r="48" spans="1:4" x14ac:dyDescent="0.2">
      <c r="A48" s="2" t="s">
        <v>66</v>
      </c>
      <c r="B48" s="2">
        <v>3</v>
      </c>
      <c r="C48" s="3" t="s">
        <v>69</v>
      </c>
      <c r="D48" s="3" t="s">
        <v>24</v>
      </c>
    </row>
    <row r="49" spans="1:4" x14ac:dyDescent="0.2">
      <c r="A49" s="2" t="s">
        <v>66</v>
      </c>
      <c r="B49" s="2">
        <v>4</v>
      </c>
      <c r="C49" s="3" t="s">
        <v>70</v>
      </c>
      <c r="D49" s="3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4"/>
  <sheetViews>
    <sheetView showGridLines="0" zoomScaleNormal="100" workbookViewId="0">
      <pane ySplit="2" topLeftCell="A3" activePane="bottomLeft" state="frozen"/>
      <selection pane="bottomLeft" activeCell="J15" sqref="J15"/>
    </sheetView>
  </sheetViews>
  <sheetFormatPr baseColWidth="10" defaultColWidth="8.6640625" defaultRowHeight="15" x14ac:dyDescent="0.2"/>
  <cols>
    <col min="1" max="1" width="4" customWidth="1"/>
    <col min="2" max="2" width="7" customWidth="1"/>
    <col min="3" max="3" width="5" customWidth="1"/>
    <col min="4" max="5" width="20" customWidth="1"/>
    <col min="6" max="6" width="7" customWidth="1"/>
    <col min="7" max="7" width="7.33203125" bestFit="1" customWidth="1"/>
    <col min="8" max="9" width="12" customWidth="1"/>
    <col min="10" max="11" width="7" customWidth="1"/>
    <col min="12" max="13" width="12" customWidth="1"/>
    <col min="14" max="16" width="7" customWidth="1"/>
  </cols>
  <sheetData>
    <row r="1" spans="1:16" x14ac:dyDescent="0.2">
      <c r="A1" s="4" t="s">
        <v>71</v>
      </c>
    </row>
    <row r="2" spans="1:16" x14ac:dyDescent="0.2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5" t="s">
        <v>77</v>
      </c>
      <c r="G2" s="5" t="s">
        <v>78</v>
      </c>
      <c r="H2" s="5" t="s">
        <v>79</v>
      </c>
      <c r="I2" s="5" t="s">
        <v>80</v>
      </c>
      <c r="J2" s="5" t="s">
        <v>81</v>
      </c>
      <c r="K2" s="5" t="s">
        <v>82</v>
      </c>
      <c r="L2" s="5" t="s">
        <v>83</v>
      </c>
      <c r="M2" s="5" t="s">
        <v>84</v>
      </c>
      <c r="N2" s="1" t="s">
        <v>85</v>
      </c>
      <c r="O2" s="1" t="s">
        <v>86</v>
      </c>
      <c r="P2" s="1" t="s">
        <v>87</v>
      </c>
    </row>
    <row r="3" spans="1:16" ht="16" x14ac:dyDescent="0.2">
      <c r="A3" s="2">
        <v>1</v>
      </c>
      <c r="B3" s="2" t="s">
        <v>88</v>
      </c>
      <c r="C3" s="2" t="s">
        <v>4</v>
      </c>
      <c r="D3" s="3" t="s">
        <v>5</v>
      </c>
      <c r="E3" s="3" t="s">
        <v>9</v>
      </c>
      <c r="F3" s="6">
        <v>1</v>
      </c>
      <c r="G3" s="6">
        <v>0</v>
      </c>
      <c r="H3" s="51" t="str">
        <f t="shared" ref="H3:H34" si="0">IF(AND(ISNUMBER(F3),ISNUMBER(G3)),IF(F3&gt;G3,D3,IF(G3&gt;F3,E3,"Draw")),"")</f>
        <v>Mexico</v>
      </c>
      <c r="I3" s="52" t="str">
        <f t="shared" ref="I3:I34" si="1">IF(AND(ISNUMBER(F3),ISNUMBER(G3)),IF(F3&gt;G3,E3,IF(G3&gt;F3,D3,"Draw")),"")</f>
        <v>South Africa</v>
      </c>
      <c r="J3" s="6">
        <v>2</v>
      </c>
      <c r="K3" s="6">
        <v>0</v>
      </c>
      <c r="L3" s="51" t="str">
        <f t="shared" ref="L3:L34" si="2">IF(AND(ISNUMBER(J3),ISNUMBER(K3)),IF(J3&gt;K3,D3,IF(K3&gt;J3,E3,"Draw")),"")</f>
        <v>Mexico</v>
      </c>
      <c r="M3" s="52" t="str">
        <f t="shared" ref="M3:M34" si="3">IF(AND(ISNUMBER(J3),ISNUMBER(K3)),IF(J3&gt;K3,E3,IF(K3&gt;J3,D3,"Draw")),"")</f>
        <v>South Africa</v>
      </c>
      <c r="N3" s="2">
        <f t="shared" ref="N3:N34" si="4">IF(AND(ISNUMBER(J3),ISNUMBER(F3)),J3-F3,"")</f>
        <v>1</v>
      </c>
      <c r="O3" s="2">
        <f t="shared" ref="O3:O34" si="5">IF(AND(ISNUMBER(K3),ISNUMBER(G3)),K3-G3,"")</f>
        <v>0</v>
      </c>
      <c r="P3" s="2">
        <f t="shared" ref="P3:P34" si="6">IF(OR(H3="",L3=""),"",IF(H3=L3,1,0))</f>
        <v>1</v>
      </c>
    </row>
    <row r="4" spans="1:16" ht="16" x14ac:dyDescent="0.2">
      <c r="A4" s="2">
        <v>2</v>
      </c>
      <c r="B4" s="2" t="s">
        <v>88</v>
      </c>
      <c r="C4" s="2" t="s">
        <v>4</v>
      </c>
      <c r="D4" s="3" t="s">
        <v>7</v>
      </c>
      <c r="E4" s="3" t="s">
        <v>11</v>
      </c>
      <c r="F4" s="6">
        <v>1</v>
      </c>
      <c r="G4" s="6">
        <v>0</v>
      </c>
      <c r="H4" s="51" t="str">
        <f t="shared" si="0"/>
        <v>South Korea</v>
      </c>
      <c r="I4" s="52" t="str">
        <f t="shared" si="1"/>
        <v>Czechia</v>
      </c>
      <c r="J4" s="6">
        <v>2</v>
      </c>
      <c r="K4" s="6">
        <v>1</v>
      </c>
      <c r="L4" s="51" t="str">
        <f t="shared" si="2"/>
        <v>South Korea</v>
      </c>
      <c r="M4" s="52" t="str">
        <f t="shared" si="3"/>
        <v>Czechia</v>
      </c>
      <c r="N4" s="2">
        <f t="shared" si="4"/>
        <v>1</v>
      </c>
      <c r="O4" s="2">
        <f t="shared" si="5"/>
        <v>1</v>
      </c>
      <c r="P4" s="2">
        <f t="shared" si="6"/>
        <v>1</v>
      </c>
    </row>
    <row r="5" spans="1:16" ht="16" x14ac:dyDescent="0.2">
      <c r="A5" s="2">
        <v>3</v>
      </c>
      <c r="B5" s="2" t="s">
        <v>89</v>
      </c>
      <c r="C5" s="2" t="s">
        <v>13</v>
      </c>
      <c r="D5" s="3" t="s">
        <v>14</v>
      </c>
      <c r="E5" s="3" t="s">
        <v>17</v>
      </c>
      <c r="F5" s="6">
        <v>0</v>
      </c>
      <c r="G5" s="6">
        <v>1</v>
      </c>
      <c r="H5" s="51" t="str">
        <f t="shared" si="0"/>
        <v>Bosnia &amp; Herzegovina</v>
      </c>
      <c r="I5" s="52" t="str">
        <f t="shared" si="1"/>
        <v>Canada</v>
      </c>
      <c r="J5" s="6">
        <v>1</v>
      </c>
      <c r="K5" s="6">
        <v>1</v>
      </c>
      <c r="L5" s="51" t="str">
        <f t="shared" si="2"/>
        <v>Draw</v>
      </c>
      <c r="M5" s="52" t="str">
        <f t="shared" si="3"/>
        <v>Draw</v>
      </c>
      <c r="N5" s="2">
        <f t="shared" si="4"/>
        <v>1</v>
      </c>
      <c r="O5" s="2">
        <f t="shared" si="5"/>
        <v>0</v>
      </c>
      <c r="P5" s="2">
        <f t="shared" si="6"/>
        <v>0</v>
      </c>
    </row>
    <row r="6" spans="1:16" ht="16" x14ac:dyDescent="0.2">
      <c r="A6" s="2">
        <v>4</v>
      </c>
      <c r="B6" s="2" t="s">
        <v>89</v>
      </c>
      <c r="C6" s="2" t="s">
        <v>25</v>
      </c>
      <c r="D6" s="3" t="s">
        <v>26</v>
      </c>
      <c r="E6" s="3" t="s">
        <v>27</v>
      </c>
      <c r="F6" s="6">
        <v>2</v>
      </c>
      <c r="G6" s="6">
        <v>1</v>
      </c>
      <c r="H6" s="51" t="str">
        <f t="shared" si="0"/>
        <v>United States</v>
      </c>
      <c r="I6" s="52" t="str">
        <f t="shared" si="1"/>
        <v>Paraguay</v>
      </c>
      <c r="J6" s="6">
        <v>4</v>
      </c>
      <c r="K6" s="6">
        <v>1</v>
      </c>
      <c r="L6" s="51" t="str">
        <f t="shared" si="2"/>
        <v>United States</v>
      </c>
      <c r="M6" s="52" t="str">
        <f t="shared" si="3"/>
        <v>Paraguay</v>
      </c>
      <c r="N6" s="2">
        <f t="shared" si="4"/>
        <v>2</v>
      </c>
      <c r="O6" s="2">
        <f t="shared" si="5"/>
        <v>0</v>
      </c>
      <c r="P6" s="2">
        <f t="shared" si="6"/>
        <v>1</v>
      </c>
    </row>
    <row r="7" spans="1:16" ht="16" x14ac:dyDescent="0.2">
      <c r="A7" s="2">
        <v>5</v>
      </c>
      <c r="B7" s="2" t="s">
        <v>90</v>
      </c>
      <c r="C7" s="2" t="s">
        <v>13</v>
      </c>
      <c r="D7" s="3" t="s">
        <v>16</v>
      </c>
      <c r="E7" s="3" t="s">
        <v>15</v>
      </c>
      <c r="F7" s="6">
        <v>0</v>
      </c>
      <c r="G7" s="6">
        <v>2</v>
      </c>
      <c r="H7" s="51" t="str">
        <f t="shared" si="0"/>
        <v>Switzerland</v>
      </c>
      <c r="I7" s="52" t="str">
        <f t="shared" si="1"/>
        <v>Qatar</v>
      </c>
      <c r="J7" s="6">
        <v>1</v>
      </c>
      <c r="K7" s="6">
        <v>1</v>
      </c>
      <c r="L7" s="51" t="str">
        <f t="shared" si="2"/>
        <v>Draw</v>
      </c>
      <c r="M7" s="52" t="str">
        <f t="shared" si="3"/>
        <v>Draw</v>
      </c>
      <c r="N7" s="2">
        <f t="shared" si="4"/>
        <v>1</v>
      </c>
      <c r="O7" s="2">
        <f t="shared" si="5"/>
        <v>-1</v>
      </c>
      <c r="P7" s="2">
        <f t="shared" si="6"/>
        <v>0</v>
      </c>
    </row>
    <row r="8" spans="1:16" ht="16" x14ac:dyDescent="0.2">
      <c r="A8" s="2">
        <v>6</v>
      </c>
      <c r="B8" s="2" t="s">
        <v>90</v>
      </c>
      <c r="C8" s="2" t="s">
        <v>18</v>
      </c>
      <c r="D8" s="3" t="s">
        <v>19</v>
      </c>
      <c r="E8" s="3" t="s">
        <v>21</v>
      </c>
      <c r="F8" s="6">
        <v>2</v>
      </c>
      <c r="G8" s="6">
        <v>1</v>
      </c>
      <c r="H8" s="51" t="str">
        <f t="shared" si="0"/>
        <v>Brazil</v>
      </c>
      <c r="I8" s="52" t="str">
        <f t="shared" si="1"/>
        <v>Morocco</v>
      </c>
      <c r="J8" s="6">
        <v>1</v>
      </c>
      <c r="K8" s="6">
        <v>1</v>
      </c>
      <c r="L8" s="51" t="str">
        <f t="shared" si="2"/>
        <v>Draw</v>
      </c>
      <c r="M8" s="52" t="str">
        <f t="shared" si="3"/>
        <v>Draw</v>
      </c>
      <c r="N8" s="2">
        <f t="shared" si="4"/>
        <v>-1</v>
      </c>
      <c r="O8" s="2">
        <f t="shared" si="5"/>
        <v>0</v>
      </c>
      <c r="P8" s="2">
        <f t="shared" si="6"/>
        <v>0</v>
      </c>
    </row>
    <row r="9" spans="1:16" ht="16" x14ac:dyDescent="0.2">
      <c r="A9" s="2">
        <v>7</v>
      </c>
      <c r="B9" s="2" t="s">
        <v>90</v>
      </c>
      <c r="C9" s="2" t="s">
        <v>18</v>
      </c>
      <c r="D9" s="3" t="s">
        <v>23</v>
      </c>
      <c r="E9" s="3" t="s">
        <v>22</v>
      </c>
      <c r="F9" s="6">
        <v>0</v>
      </c>
      <c r="G9" s="6">
        <v>2</v>
      </c>
      <c r="H9" s="51" t="str">
        <f t="shared" si="0"/>
        <v>Scotland</v>
      </c>
      <c r="I9" s="52" t="str">
        <f t="shared" si="1"/>
        <v>Haiti</v>
      </c>
      <c r="J9" s="6">
        <v>0</v>
      </c>
      <c r="K9" s="6">
        <v>1</v>
      </c>
      <c r="L9" s="51" t="str">
        <f t="shared" si="2"/>
        <v>Scotland</v>
      </c>
      <c r="M9" s="52" t="str">
        <f t="shared" si="3"/>
        <v>Haiti</v>
      </c>
      <c r="N9" s="2">
        <f t="shared" si="4"/>
        <v>0</v>
      </c>
      <c r="O9" s="2">
        <f t="shared" si="5"/>
        <v>-1</v>
      </c>
      <c r="P9" s="2">
        <f t="shared" si="6"/>
        <v>1</v>
      </c>
    </row>
    <row r="10" spans="1:16" ht="16" x14ac:dyDescent="0.2">
      <c r="A10" s="2">
        <v>8</v>
      </c>
      <c r="B10" s="2" t="s">
        <v>90</v>
      </c>
      <c r="C10" s="2" t="s">
        <v>25</v>
      </c>
      <c r="D10" s="3" t="s">
        <v>28</v>
      </c>
      <c r="E10" s="3" t="s">
        <v>29</v>
      </c>
      <c r="F10" s="6">
        <v>0</v>
      </c>
      <c r="G10" s="6">
        <v>3</v>
      </c>
      <c r="H10" s="51" t="str">
        <f t="shared" si="0"/>
        <v>Türkiye</v>
      </c>
      <c r="I10" s="52" t="str">
        <f t="shared" si="1"/>
        <v>Australia</v>
      </c>
      <c r="J10" s="6">
        <v>2</v>
      </c>
      <c r="K10" s="6">
        <v>0</v>
      </c>
      <c r="L10" s="51" t="str">
        <f t="shared" si="2"/>
        <v>Australia</v>
      </c>
      <c r="M10" s="52" t="str">
        <f t="shared" si="3"/>
        <v>Türkiye</v>
      </c>
      <c r="N10" s="2">
        <f t="shared" si="4"/>
        <v>2</v>
      </c>
      <c r="O10" s="2">
        <f t="shared" si="5"/>
        <v>-3</v>
      </c>
      <c r="P10" s="2">
        <f t="shared" si="6"/>
        <v>0</v>
      </c>
    </row>
    <row r="11" spans="1:16" ht="16" x14ac:dyDescent="0.2">
      <c r="A11" s="2">
        <v>9</v>
      </c>
      <c r="B11" s="2" t="s">
        <v>91</v>
      </c>
      <c r="C11" s="2" t="s">
        <v>30</v>
      </c>
      <c r="D11" s="3" t="s">
        <v>31</v>
      </c>
      <c r="E11" s="3" t="s">
        <v>34</v>
      </c>
      <c r="F11" s="6">
        <v>2</v>
      </c>
      <c r="G11" s="6">
        <v>0</v>
      </c>
      <c r="H11" s="51" t="str">
        <f t="shared" si="0"/>
        <v>Germany</v>
      </c>
      <c r="I11" s="52" t="str">
        <f t="shared" si="1"/>
        <v>Curaçao</v>
      </c>
      <c r="J11" s="6">
        <v>7</v>
      </c>
      <c r="K11" s="6">
        <v>1</v>
      </c>
      <c r="L11" s="51" t="str">
        <f t="shared" si="2"/>
        <v>Germany</v>
      </c>
      <c r="M11" s="52" t="str">
        <f t="shared" si="3"/>
        <v>Curaçao</v>
      </c>
      <c r="N11" s="2">
        <f t="shared" si="4"/>
        <v>5</v>
      </c>
      <c r="O11" s="2">
        <f t="shared" si="5"/>
        <v>1</v>
      </c>
      <c r="P11" s="2">
        <f t="shared" si="6"/>
        <v>1</v>
      </c>
    </row>
    <row r="12" spans="1:16" ht="16" x14ac:dyDescent="0.2">
      <c r="A12" s="2">
        <v>10</v>
      </c>
      <c r="B12" s="2" t="s">
        <v>91</v>
      </c>
      <c r="C12" s="2" t="s">
        <v>35</v>
      </c>
      <c r="D12" s="3" t="s">
        <v>36</v>
      </c>
      <c r="E12" s="3" t="s">
        <v>37</v>
      </c>
      <c r="F12" s="6">
        <v>1</v>
      </c>
      <c r="G12" s="6">
        <v>0</v>
      </c>
      <c r="H12" s="51" t="str">
        <f t="shared" si="0"/>
        <v>Netherlands</v>
      </c>
      <c r="I12" s="52" t="str">
        <f t="shared" si="1"/>
        <v>Japan</v>
      </c>
      <c r="J12" s="6">
        <v>2</v>
      </c>
      <c r="K12" s="6">
        <v>2</v>
      </c>
      <c r="L12" s="51" t="str">
        <f t="shared" si="2"/>
        <v>Draw</v>
      </c>
      <c r="M12" s="52" t="str">
        <f t="shared" si="3"/>
        <v>Draw</v>
      </c>
      <c r="N12" s="2">
        <f t="shared" si="4"/>
        <v>1</v>
      </c>
      <c r="O12" s="2">
        <f t="shared" si="5"/>
        <v>2</v>
      </c>
      <c r="P12" s="2">
        <f t="shared" si="6"/>
        <v>0</v>
      </c>
    </row>
    <row r="13" spans="1:16" ht="16" x14ac:dyDescent="0.2">
      <c r="A13" s="2">
        <v>11</v>
      </c>
      <c r="B13" s="2" t="s">
        <v>91</v>
      </c>
      <c r="C13" s="2" t="s">
        <v>30</v>
      </c>
      <c r="D13" s="3" t="s">
        <v>33</v>
      </c>
      <c r="E13" s="3" t="s">
        <v>32</v>
      </c>
      <c r="F13" s="6">
        <v>0</v>
      </c>
      <c r="G13" s="6">
        <v>2</v>
      </c>
      <c r="H13" s="51" t="str">
        <f t="shared" si="0"/>
        <v>Ecuador</v>
      </c>
      <c r="I13" s="52" t="str">
        <f t="shared" si="1"/>
        <v>Côte d'Ivoire</v>
      </c>
      <c r="J13" s="6">
        <v>1</v>
      </c>
      <c r="K13" s="6">
        <v>0</v>
      </c>
      <c r="L13" s="51" t="str">
        <f t="shared" si="2"/>
        <v>Côte d'Ivoire</v>
      </c>
      <c r="M13" s="52" t="str">
        <f t="shared" si="3"/>
        <v>Ecuador</v>
      </c>
      <c r="N13" s="2">
        <f t="shared" si="4"/>
        <v>1</v>
      </c>
      <c r="O13" s="2">
        <f t="shared" si="5"/>
        <v>-2</v>
      </c>
      <c r="P13" s="2">
        <f t="shared" si="6"/>
        <v>0</v>
      </c>
    </row>
    <row r="14" spans="1:16" ht="16" x14ac:dyDescent="0.2">
      <c r="A14" s="2">
        <v>12</v>
      </c>
      <c r="B14" s="2" t="s">
        <v>91</v>
      </c>
      <c r="C14" s="2" t="s">
        <v>35</v>
      </c>
      <c r="D14" s="3" t="s">
        <v>39</v>
      </c>
      <c r="E14" s="3" t="s">
        <v>38</v>
      </c>
      <c r="F14" s="6">
        <v>1</v>
      </c>
      <c r="G14" s="6">
        <v>0</v>
      </c>
      <c r="H14" s="51" t="str">
        <f t="shared" si="0"/>
        <v>Sweden</v>
      </c>
      <c r="I14" s="52" t="str">
        <f t="shared" si="1"/>
        <v>Tunisia</v>
      </c>
      <c r="J14" s="6">
        <v>5</v>
      </c>
      <c r="K14" s="6">
        <v>1</v>
      </c>
      <c r="L14" s="51" t="str">
        <f t="shared" si="2"/>
        <v>Sweden</v>
      </c>
      <c r="M14" s="52" t="str">
        <f t="shared" si="3"/>
        <v>Tunisia</v>
      </c>
      <c r="N14" s="2">
        <f t="shared" si="4"/>
        <v>4</v>
      </c>
      <c r="O14" s="2">
        <f t="shared" si="5"/>
        <v>1</v>
      </c>
      <c r="P14" s="2">
        <f t="shared" si="6"/>
        <v>1</v>
      </c>
    </row>
    <row r="15" spans="1:16" ht="16" x14ac:dyDescent="0.2">
      <c r="A15" s="2">
        <v>13</v>
      </c>
      <c r="B15" s="2" t="s">
        <v>92</v>
      </c>
      <c r="C15" s="2" t="s">
        <v>46</v>
      </c>
      <c r="D15" s="3" t="s">
        <v>47</v>
      </c>
      <c r="E15" s="3" t="s">
        <v>50</v>
      </c>
      <c r="F15" s="6">
        <v>3</v>
      </c>
      <c r="G15" s="6">
        <v>0</v>
      </c>
      <c r="H15" s="51" t="str">
        <f t="shared" si="0"/>
        <v>Spain</v>
      </c>
      <c r="I15" s="52" t="str">
        <f t="shared" si="1"/>
        <v>Cabo Verde</v>
      </c>
      <c r="J15" s="6"/>
      <c r="K15" s="6"/>
      <c r="L15" s="51" t="str">
        <f t="shared" si="2"/>
        <v/>
      </c>
      <c r="M15" s="52" t="str">
        <f t="shared" si="3"/>
        <v/>
      </c>
      <c r="N15" s="2" t="str">
        <f t="shared" si="4"/>
        <v/>
      </c>
      <c r="O15" s="2" t="str">
        <f t="shared" si="5"/>
        <v/>
      </c>
      <c r="P15" s="2" t="str">
        <f t="shared" si="6"/>
        <v/>
      </c>
    </row>
    <row r="16" spans="1:16" ht="16" x14ac:dyDescent="0.2">
      <c r="A16" s="2">
        <v>14</v>
      </c>
      <c r="B16" s="2" t="s">
        <v>92</v>
      </c>
      <c r="C16" s="2" t="s">
        <v>40</v>
      </c>
      <c r="D16" s="3" t="s">
        <v>41</v>
      </c>
      <c r="E16" s="3" t="s">
        <v>43</v>
      </c>
      <c r="F16" s="6">
        <v>1</v>
      </c>
      <c r="G16" s="6">
        <v>1</v>
      </c>
      <c r="H16" s="51" t="str">
        <f t="shared" si="0"/>
        <v>Draw</v>
      </c>
      <c r="I16" s="52" t="str">
        <f t="shared" si="1"/>
        <v>Draw</v>
      </c>
      <c r="J16" s="6"/>
      <c r="K16" s="6"/>
      <c r="L16" s="51" t="str">
        <f t="shared" si="2"/>
        <v/>
      </c>
      <c r="M16" s="52" t="str">
        <f t="shared" si="3"/>
        <v/>
      </c>
      <c r="N16" s="2" t="str">
        <f t="shared" si="4"/>
        <v/>
      </c>
      <c r="O16" s="2" t="str">
        <f t="shared" si="5"/>
        <v/>
      </c>
      <c r="P16" s="2" t="str">
        <f t="shared" si="6"/>
        <v/>
      </c>
    </row>
    <row r="17" spans="1:16" ht="16" x14ac:dyDescent="0.2">
      <c r="A17" s="2">
        <v>15</v>
      </c>
      <c r="B17" s="2" t="s">
        <v>92</v>
      </c>
      <c r="C17" s="2" t="s">
        <v>46</v>
      </c>
      <c r="D17" s="3" t="s">
        <v>49</v>
      </c>
      <c r="E17" s="3" t="s">
        <v>48</v>
      </c>
      <c r="F17" s="6">
        <v>0</v>
      </c>
      <c r="G17" s="6">
        <v>2</v>
      </c>
      <c r="H17" s="51" t="str">
        <f t="shared" si="0"/>
        <v>Uruguay</v>
      </c>
      <c r="I17" s="52" t="str">
        <f t="shared" si="1"/>
        <v>Saudi Arabia</v>
      </c>
      <c r="J17" s="6"/>
      <c r="K17" s="6"/>
      <c r="L17" s="51" t="str">
        <f t="shared" si="2"/>
        <v/>
      </c>
      <c r="M17" s="52" t="str">
        <f t="shared" si="3"/>
        <v/>
      </c>
      <c r="N17" s="2" t="str">
        <f t="shared" si="4"/>
        <v/>
      </c>
      <c r="O17" s="2" t="str">
        <f t="shared" si="5"/>
        <v/>
      </c>
      <c r="P17" s="2" t="str">
        <f t="shared" si="6"/>
        <v/>
      </c>
    </row>
    <row r="18" spans="1:16" ht="16" x14ac:dyDescent="0.2">
      <c r="A18" s="2">
        <v>16</v>
      </c>
      <c r="B18" s="2" t="s">
        <v>92</v>
      </c>
      <c r="C18" s="2" t="s">
        <v>40</v>
      </c>
      <c r="D18" s="3" t="s">
        <v>42</v>
      </c>
      <c r="E18" s="3" t="s">
        <v>44</v>
      </c>
      <c r="F18" s="6">
        <v>0</v>
      </c>
      <c r="G18" s="6">
        <v>0</v>
      </c>
      <c r="H18" s="51" t="str">
        <f t="shared" si="0"/>
        <v>Draw</v>
      </c>
      <c r="I18" s="52" t="str">
        <f t="shared" si="1"/>
        <v>Draw</v>
      </c>
      <c r="J18" s="6"/>
      <c r="K18" s="6"/>
      <c r="L18" s="51" t="str">
        <f t="shared" si="2"/>
        <v/>
      </c>
      <c r="M18" s="52" t="str">
        <f t="shared" si="3"/>
        <v/>
      </c>
      <c r="N18" s="2" t="str">
        <f t="shared" si="4"/>
        <v/>
      </c>
      <c r="O18" s="2" t="str">
        <f t="shared" si="5"/>
        <v/>
      </c>
      <c r="P18" s="2" t="str">
        <f t="shared" si="6"/>
        <v/>
      </c>
    </row>
    <row r="19" spans="1:16" ht="16" x14ac:dyDescent="0.2">
      <c r="A19" s="2">
        <v>17</v>
      </c>
      <c r="B19" s="2" t="s">
        <v>93</v>
      </c>
      <c r="C19" s="2" t="s">
        <v>51</v>
      </c>
      <c r="D19" s="3" t="s">
        <v>52</v>
      </c>
      <c r="E19" s="3" t="s">
        <v>53</v>
      </c>
      <c r="F19" s="6">
        <v>3</v>
      </c>
      <c r="G19" s="6">
        <v>0</v>
      </c>
      <c r="H19" s="51" t="str">
        <f t="shared" si="0"/>
        <v>France</v>
      </c>
      <c r="I19" s="52" t="str">
        <f t="shared" si="1"/>
        <v>Senegal</v>
      </c>
      <c r="J19" s="6"/>
      <c r="K19" s="6"/>
      <c r="L19" s="51" t="str">
        <f t="shared" si="2"/>
        <v/>
      </c>
      <c r="M19" s="52" t="str">
        <f t="shared" si="3"/>
        <v/>
      </c>
      <c r="N19" s="2" t="str">
        <f t="shared" si="4"/>
        <v/>
      </c>
      <c r="O19" s="2" t="str">
        <f t="shared" si="5"/>
        <v/>
      </c>
      <c r="P19" s="2" t="str">
        <f t="shared" si="6"/>
        <v/>
      </c>
    </row>
    <row r="20" spans="1:16" ht="16" x14ac:dyDescent="0.2">
      <c r="A20" s="2">
        <v>18</v>
      </c>
      <c r="B20" s="2" t="s">
        <v>93</v>
      </c>
      <c r="C20" s="2" t="s">
        <v>51</v>
      </c>
      <c r="D20" s="3" t="s">
        <v>55</v>
      </c>
      <c r="E20" s="3" t="s">
        <v>54</v>
      </c>
      <c r="F20" s="6">
        <v>0</v>
      </c>
      <c r="G20" s="6">
        <v>2</v>
      </c>
      <c r="H20" s="51" t="str">
        <f t="shared" si="0"/>
        <v>Norway</v>
      </c>
      <c r="I20" s="52" t="str">
        <f t="shared" si="1"/>
        <v>Iraq</v>
      </c>
      <c r="J20" s="6"/>
      <c r="K20" s="6"/>
      <c r="L20" s="51" t="str">
        <f t="shared" si="2"/>
        <v/>
      </c>
      <c r="M20" s="52" t="str">
        <f t="shared" si="3"/>
        <v/>
      </c>
      <c r="N20" s="2" t="str">
        <f t="shared" si="4"/>
        <v/>
      </c>
      <c r="O20" s="2" t="str">
        <f t="shared" si="5"/>
        <v/>
      </c>
      <c r="P20" s="2" t="str">
        <f t="shared" si="6"/>
        <v/>
      </c>
    </row>
    <row r="21" spans="1:16" ht="16" x14ac:dyDescent="0.2">
      <c r="A21" s="2">
        <v>19</v>
      </c>
      <c r="B21" s="2" t="s">
        <v>93</v>
      </c>
      <c r="C21" s="2" t="s">
        <v>56</v>
      </c>
      <c r="D21" s="3" t="s">
        <v>57</v>
      </c>
      <c r="E21" s="3" t="s">
        <v>59</v>
      </c>
      <c r="F21" s="6">
        <v>2</v>
      </c>
      <c r="G21" s="6">
        <v>0</v>
      </c>
      <c r="H21" s="51" t="str">
        <f t="shared" si="0"/>
        <v>Argentina</v>
      </c>
      <c r="I21" s="52" t="str">
        <f t="shared" si="1"/>
        <v>Algeria</v>
      </c>
      <c r="J21" s="6"/>
      <c r="K21" s="6"/>
      <c r="L21" s="51" t="str">
        <f t="shared" si="2"/>
        <v/>
      </c>
      <c r="M21" s="52" t="str">
        <f t="shared" si="3"/>
        <v/>
      </c>
      <c r="N21" s="2" t="str">
        <f t="shared" si="4"/>
        <v/>
      </c>
      <c r="O21" s="2" t="str">
        <f t="shared" si="5"/>
        <v/>
      </c>
      <c r="P21" s="2" t="str">
        <f t="shared" si="6"/>
        <v/>
      </c>
    </row>
    <row r="22" spans="1:16" ht="16" x14ac:dyDescent="0.2">
      <c r="A22" s="2">
        <v>20</v>
      </c>
      <c r="B22" s="2" t="s">
        <v>93</v>
      </c>
      <c r="C22" s="2" t="s">
        <v>56</v>
      </c>
      <c r="D22" s="3" t="s">
        <v>58</v>
      </c>
      <c r="E22" s="3" t="s">
        <v>60</v>
      </c>
      <c r="F22" s="6">
        <v>1</v>
      </c>
      <c r="G22" s="6">
        <v>0</v>
      </c>
      <c r="H22" s="51" t="str">
        <f t="shared" si="0"/>
        <v>Austria</v>
      </c>
      <c r="I22" s="52" t="str">
        <f t="shared" si="1"/>
        <v>Jordan</v>
      </c>
      <c r="J22" s="6"/>
      <c r="K22" s="6"/>
      <c r="L22" s="51" t="str">
        <f t="shared" si="2"/>
        <v/>
      </c>
      <c r="M22" s="52" t="str">
        <f t="shared" si="3"/>
        <v/>
      </c>
      <c r="N22" s="2" t="str">
        <f t="shared" si="4"/>
        <v/>
      </c>
      <c r="O22" s="2" t="str">
        <f t="shared" si="5"/>
        <v/>
      </c>
      <c r="P22" s="2" t="str">
        <f t="shared" si="6"/>
        <v/>
      </c>
    </row>
    <row r="23" spans="1:16" ht="16" x14ac:dyDescent="0.2">
      <c r="A23" s="2">
        <v>21</v>
      </c>
      <c r="B23" s="2" t="s">
        <v>94</v>
      </c>
      <c r="C23" s="2" t="s">
        <v>61</v>
      </c>
      <c r="D23" s="3" t="s">
        <v>62</v>
      </c>
      <c r="E23" s="3" t="s">
        <v>65</v>
      </c>
      <c r="F23" s="6">
        <v>3</v>
      </c>
      <c r="G23" s="6">
        <v>0</v>
      </c>
      <c r="H23" s="51" t="str">
        <f t="shared" si="0"/>
        <v>Portugal</v>
      </c>
      <c r="I23" s="52" t="str">
        <f t="shared" si="1"/>
        <v>DR Congo</v>
      </c>
      <c r="J23" s="6"/>
      <c r="K23" s="6"/>
      <c r="L23" s="51" t="str">
        <f t="shared" si="2"/>
        <v/>
      </c>
      <c r="M23" s="52" t="str">
        <f t="shared" si="3"/>
        <v/>
      </c>
      <c r="N23" s="2" t="str">
        <f t="shared" si="4"/>
        <v/>
      </c>
      <c r="O23" s="2" t="str">
        <f t="shared" si="5"/>
        <v/>
      </c>
      <c r="P23" s="2" t="str">
        <f t="shared" si="6"/>
        <v/>
      </c>
    </row>
    <row r="24" spans="1:16" ht="16" x14ac:dyDescent="0.2">
      <c r="A24" s="2">
        <v>22</v>
      </c>
      <c r="B24" s="2" t="s">
        <v>94</v>
      </c>
      <c r="C24" s="2" t="s">
        <v>66</v>
      </c>
      <c r="D24" s="3" t="s">
        <v>67</v>
      </c>
      <c r="E24" s="3" t="s">
        <v>68</v>
      </c>
      <c r="F24" s="6">
        <v>1</v>
      </c>
      <c r="G24" s="6">
        <v>1</v>
      </c>
      <c r="H24" s="51" t="str">
        <f t="shared" si="0"/>
        <v>Draw</v>
      </c>
      <c r="I24" s="52" t="str">
        <f t="shared" si="1"/>
        <v>Draw</v>
      </c>
      <c r="J24" s="6"/>
      <c r="K24" s="6"/>
      <c r="L24" s="51" t="str">
        <f t="shared" si="2"/>
        <v/>
      </c>
      <c r="M24" s="52" t="str">
        <f t="shared" si="3"/>
        <v/>
      </c>
      <c r="N24" s="2" t="str">
        <f t="shared" si="4"/>
        <v/>
      </c>
      <c r="O24" s="2" t="str">
        <f t="shared" si="5"/>
        <v/>
      </c>
      <c r="P24" s="2" t="str">
        <f t="shared" si="6"/>
        <v/>
      </c>
    </row>
    <row r="25" spans="1:16" ht="16" x14ac:dyDescent="0.2">
      <c r="A25" s="2">
        <v>23</v>
      </c>
      <c r="B25" s="2" t="s">
        <v>94</v>
      </c>
      <c r="C25" s="2" t="s">
        <v>66</v>
      </c>
      <c r="D25" s="3" t="s">
        <v>70</v>
      </c>
      <c r="E25" s="3" t="s">
        <v>69</v>
      </c>
      <c r="F25" s="6">
        <v>2</v>
      </c>
      <c r="G25" s="6">
        <v>0</v>
      </c>
      <c r="H25" s="51" t="str">
        <f t="shared" si="0"/>
        <v>Ghana</v>
      </c>
      <c r="I25" s="52" t="str">
        <f t="shared" si="1"/>
        <v>Panama</v>
      </c>
      <c r="J25" s="6"/>
      <c r="K25" s="6"/>
      <c r="L25" s="51" t="str">
        <f t="shared" si="2"/>
        <v/>
      </c>
      <c r="M25" s="52" t="str">
        <f t="shared" si="3"/>
        <v/>
      </c>
      <c r="N25" s="2" t="str">
        <f t="shared" si="4"/>
        <v/>
      </c>
      <c r="O25" s="2" t="str">
        <f t="shared" si="5"/>
        <v/>
      </c>
      <c r="P25" s="2" t="str">
        <f t="shared" si="6"/>
        <v/>
      </c>
    </row>
    <row r="26" spans="1:16" ht="16" x14ac:dyDescent="0.2">
      <c r="A26" s="2">
        <v>24</v>
      </c>
      <c r="B26" s="2" t="s">
        <v>94</v>
      </c>
      <c r="C26" s="2" t="s">
        <v>61</v>
      </c>
      <c r="D26" s="3" t="s">
        <v>64</v>
      </c>
      <c r="E26" s="3" t="s">
        <v>63</v>
      </c>
      <c r="F26" s="6">
        <v>0</v>
      </c>
      <c r="G26" s="6">
        <v>3</v>
      </c>
      <c r="H26" s="51" t="str">
        <f t="shared" si="0"/>
        <v>Colombia</v>
      </c>
      <c r="I26" s="52" t="str">
        <f t="shared" si="1"/>
        <v>Uzbekistan</v>
      </c>
      <c r="J26" s="6"/>
      <c r="K26" s="6"/>
      <c r="L26" s="51" t="str">
        <f t="shared" si="2"/>
        <v/>
      </c>
      <c r="M26" s="52" t="str">
        <f t="shared" si="3"/>
        <v/>
      </c>
      <c r="N26" s="2" t="str">
        <f t="shared" si="4"/>
        <v/>
      </c>
      <c r="O26" s="2" t="str">
        <f t="shared" si="5"/>
        <v/>
      </c>
      <c r="P26" s="2" t="str">
        <f t="shared" si="6"/>
        <v/>
      </c>
    </row>
    <row r="27" spans="1:16" ht="16" x14ac:dyDescent="0.2">
      <c r="A27" s="2">
        <v>25</v>
      </c>
      <c r="B27" s="2" t="s">
        <v>95</v>
      </c>
      <c r="C27" s="2" t="s">
        <v>4</v>
      </c>
      <c r="D27" s="3" t="s">
        <v>11</v>
      </c>
      <c r="E27" s="3" t="s">
        <v>9</v>
      </c>
      <c r="F27" s="6">
        <v>2</v>
      </c>
      <c r="G27" s="6">
        <v>0</v>
      </c>
      <c r="H27" s="51" t="str">
        <f t="shared" si="0"/>
        <v>Czechia</v>
      </c>
      <c r="I27" s="52" t="str">
        <f t="shared" si="1"/>
        <v>South Africa</v>
      </c>
      <c r="J27" s="6"/>
      <c r="K27" s="6"/>
      <c r="L27" s="51" t="str">
        <f t="shared" si="2"/>
        <v/>
      </c>
      <c r="M27" s="52" t="str">
        <f t="shared" si="3"/>
        <v/>
      </c>
      <c r="N27" s="2" t="str">
        <f t="shared" si="4"/>
        <v/>
      </c>
      <c r="O27" s="2" t="str">
        <f t="shared" si="5"/>
        <v/>
      </c>
      <c r="P27" s="2" t="str">
        <f t="shared" si="6"/>
        <v/>
      </c>
    </row>
    <row r="28" spans="1:16" ht="16" x14ac:dyDescent="0.2">
      <c r="A28" s="2">
        <v>26</v>
      </c>
      <c r="B28" s="2" t="s">
        <v>95</v>
      </c>
      <c r="C28" s="2" t="s">
        <v>13</v>
      </c>
      <c r="D28" s="3" t="s">
        <v>15</v>
      </c>
      <c r="E28" s="3" t="s">
        <v>17</v>
      </c>
      <c r="F28" s="6">
        <v>1</v>
      </c>
      <c r="G28" s="6">
        <v>1</v>
      </c>
      <c r="H28" s="51" t="str">
        <f t="shared" si="0"/>
        <v>Draw</v>
      </c>
      <c r="I28" s="52" t="str">
        <f t="shared" si="1"/>
        <v>Draw</v>
      </c>
      <c r="J28" s="6"/>
      <c r="K28" s="6"/>
      <c r="L28" s="51" t="str">
        <f t="shared" si="2"/>
        <v/>
      </c>
      <c r="M28" s="52" t="str">
        <f t="shared" si="3"/>
        <v/>
      </c>
      <c r="N28" s="2" t="str">
        <f t="shared" si="4"/>
        <v/>
      </c>
      <c r="O28" s="2" t="str">
        <f t="shared" si="5"/>
        <v/>
      </c>
      <c r="P28" s="2" t="str">
        <f t="shared" si="6"/>
        <v/>
      </c>
    </row>
    <row r="29" spans="1:16" ht="16" x14ac:dyDescent="0.2">
      <c r="A29" s="2">
        <v>27</v>
      </c>
      <c r="B29" s="2" t="s">
        <v>95</v>
      </c>
      <c r="C29" s="2" t="s">
        <v>13</v>
      </c>
      <c r="D29" s="3" t="s">
        <v>14</v>
      </c>
      <c r="E29" s="3" t="s">
        <v>16</v>
      </c>
      <c r="F29" s="6">
        <v>2</v>
      </c>
      <c r="G29" s="6">
        <v>0</v>
      </c>
      <c r="H29" s="51" t="str">
        <f t="shared" si="0"/>
        <v>Canada</v>
      </c>
      <c r="I29" s="52" t="str">
        <f t="shared" si="1"/>
        <v>Qatar</v>
      </c>
      <c r="J29" s="6"/>
      <c r="K29" s="6"/>
      <c r="L29" s="51" t="str">
        <f t="shared" si="2"/>
        <v/>
      </c>
      <c r="M29" s="52" t="str">
        <f t="shared" si="3"/>
        <v/>
      </c>
      <c r="N29" s="2" t="str">
        <f t="shared" si="4"/>
        <v/>
      </c>
      <c r="O29" s="2" t="str">
        <f t="shared" si="5"/>
        <v/>
      </c>
      <c r="P29" s="2" t="str">
        <f t="shared" si="6"/>
        <v/>
      </c>
    </row>
    <row r="30" spans="1:16" ht="16" x14ac:dyDescent="0.2">
      <c r="A30" s="2">
        <v>28</v>
      </c>
      <c r="B30" s="2" t="s">
        <v>95</v>
      </c>
      <c r="C30" s="2" t="s">
        <v>4</v>
      </c>
      <c r="D30" s="3" t="s">
        <v>5</v>
      </c>
      <c r="E30" s="3" t="s">
        <v>7</v>
      </c>
      <c r="F30" s="6">
        <v>0</v>
      </c>
      <c r="G30" s="6">
        <v>1</v>
      </c>
      <c r="H30" s="51" t="str">
        <f t="shared" si="0"/>
        <v>South Korea</v>
      </c>
      <c r="I30" s="52" t="str">
        <f t="shared" si="1"/>
        <v>Mexico</v>
      </c>
      <c r="J30" s="6"/>
      <c r="K30" s="6"/>
      <c r="L30" s="51" t="str">
        <f t="shared" si="2"/>
        <v/>
      </c>
      <c r="M30" s="52" t="str">
        <f t="shared" si="3"/>
        <v/>
      </c>
      <c r="N30" s="2" t="str">
        <f t="shared" si="4"/>
        <v/>
      </c>
      <c r="O30" s="2" t="str">
        <f t="shared" si="5"/>
        <v/>
      </c>
      <c r="P30" s="2" t="str">
        <f t="shared" si="6"/>
        <v/>
      </c>
    </row>
    <row r="31" spans="1:16" ht="16" x14ac:dyDescent="0.2">
      <c r="A31" s="2">
        <v>29</v>
      </c>
      <c r="B31" s="2" t="s">
        <v>96</v>
      </c>
      <c r="C31" s="2" t="s">
        <v>25</v>
      </c>
      <c r="D31" s="3" t="s">
        <v>26</v>
      </c>
      <c r="E31" s="3" t="s">
        <v>28</v>
      </c>
      <c r="F31" s="6">
        <v>2</v>
      </c>
      <c r="G31" s="6">
        <v>0</v>
      </c>
      <c r="H31" s="51" t="str">
        <f t="shared" si="0"/>
        <v>United States</v>
      </c>
      <c r="I31" s="52" t="str">
        <f t="shared" si="1"/>
        <v>Australia</v>
      </c>
      <c r="J31" s="6"/>
      <c r="K31" s="6"/>
      <c r="L31" s="51" t="str">
        <f t="shared" si="2"/>
        <v/>
      </c>
      <c r="M31" s="52" t="str">
        <f t="shared" si="3"/>
        <v/>
      </c>
      <c r="N31" s="2" t="str">
        <f t="shared" si="4"/>
        <v/>
      </c>
      <c r="O31" s="2" t="str">
        <f t="shared" si="5"/>
        <v/>
      </c>
      <c r="P31" s="2" t="str">
        <f t="shared" si="6"/>
        <v/>
      </c>
    </row>
    <row r="32" spans="1:16" ht="16" x14ac:dyDescent="0.2">
      <c r="A32" s="2">
        <v>30</v>
      </c>
      <c r="B32" s="2" t="s">
        <v>96</v>
      </c>
      <c r="C32" s="2" t="s">
        <v>18</v>
      </c>
      <c r="D32" s="3" t="s">
        <v>22</v>
      </c>
      <c r="E32" s="3" t="s">
        <v>21</v>
      </c>
      <c r="F32" s="6">
        <v>1</v>
      </c>
      <c r="G32" s="6">
        <v>2</v>
      </c>
      <c r="H32" s="51" t="str">
        <f t="shared" si="0"/>
        <v>Morocco</v>
      </c>
      <c r="I32" s="52" t="str">
        <f t="shared" si="1"/>
        <v>Scotland</v>
      </c>
      <c r="J32" s="6"/>
      <c r="K32" s="6"/>
      <c r="L32" s="51" t="str">
        <f t="shared" si="2"/>
        <v/>
      </c>
      <c r="M32" s="52" t="str">
        <f t="shared" si="3"/>
        <v/>
      </c>
      <c r="N32" s="2" t="str">
        <f t="shared" si="4"/>
        <v/>
      </c>
      <c r="O32" s="2" t="str">
        <f t="shared" si="5"/>
        <v/>
      </c>
      <c r="P32" s="2" t="str">
        <f t="shared" si="6"/>
        <v/>
      </c>
    </row>
    <row r="33" spans="1:16" ht="16" x14ac:dyDescent="0.2">
      <c r="A33" s="2">
        <v>31</v>
      </c>
      <c r="B33" s="2" t="s">
        <v>96</v>
      </c>
      <c r="C33" s="2" t="s">
        <v>18</v>
      </c>
      <c r="D33" s="3" t="s">
        <v>19</v>
      </c>
      <c r="E33" s="3" t="s">
        <v>23</v>
      </c>
      <c r="F33" s="6">
        <v>3</v>
      </c>
      <c r="G33" s="6">
        <v>0</v>
      </c>
      <c r="H33" s="51" t="str">
        <f t="shared" si="0"/>
        <v>Brazil</v>
      </c>
      <c r="I33" s="52" t="str">
        <f t="shared" si="1"/>
        <v>Haiti</v>
      </c>
      <c r="J33" s="6"/>
      <c r="K33" s="6"/>
      <c r="L33" s="51" t="str">
        <f t="shared" si="2"/>
        <v/>
      </c>
      <c r="M33" s="52" t="str">
        <f t="shared" si="3"/>
        <v/>
      </c>
      <c r="N33" s="2" t="str">
        <f t="shared" si="4"/>
        <v/>
      </c>
      <c r="O33" s="2" t="str">
        <f t="shared" si="5"/>
        <v/>
      </c>
      <c r="P33" s="2" t="str">
        <f t="shared" si="6"/>
        <v/>
      </c>
    </row>
    <row r="34" spans="1:16" ht="16" x14ac:dyDescent="0.2">
      <c r="A34" s="2">
        <v>32</v>
      </c>
      <c r="B34" s="2" t="s">
        <v>96</v>
      </c>
      <c r="C34" s="2" t="s">
        <v>25</v>
      </c>
      <c r="D34" s="3" t="s">
        <v>29</v>
      </c>
      <c r="E34" s="3" t="s">
        <v>27</v>
      </c>
      <c r="F34" s="6">
        <v>2</v>
      </c>
      <c r="G34" s="6">
        <v>0</v>
      </c>
      <c r="H34" s="51" t="str">
        <f t="shared" si="0"/>
        <v>Türkiye</v>
      </c>
      <c r="I34" s="52" t="str">
        <f t="shared" si="1"/>
        <v>Paraguay</v>
      </c>
      <c r="J34" s="6"/>
      <c r="K34" s="6"/>
      <c r="L34" s="51" t="str">
        <f t="shared" si="2"/>
        <v/>
      </c>
      <c r="M34" s="52" t="str">
        <f t="shared" si="3"/>
        <v/>
      </c>
      <c r="N34" s="2" t="str">
        <f t="shared" si="4"/>
        <v/>
      </c>
      <c r="O34" s="2" t="str">
        <f t="shared" si="5"/>
        <v/>
      </c>
      <c r="P34" s="2" t="str">
        <f t="shared" si="6"/>
        <v/>
      </c>
    </row>
    <row r="35" spans="1:16" ht="16" x14ac:dyDescent="0.2">
      <c r="A35" s="2">
        <v>33</v>
      </c>
      <c r="B35" s="2" t="s">
        <v>97</v>
      </c>
      <c r="C35" s="2" t="s">
        <v>35</v>
      </c>
      <c r="D35" s="3" t="s">
        <v>36</v>
      </c>
      <c r="E35" s="3" t="s">
        <v>39</v>
      </c>
      <c r="F35" s="6">
        <v>2</v>
      </c>
      <c r="G35" s="6">
        <v>1</v>
      </c>
      <c r="H35" s="51" t="str">
        <f t="shared" ref="H35:H66" si="7">IF(AND(ISNUMBER(F35),ISNUMBER(G35)),IF(F35&gt;G35,D35,IF(G35&gt;F35,E35,"Draw")),"")</f>
        <v>Netherlands</v>
      </c>
      <c r="I35" s="52" t="str">
        <f t="shared" ref="I35:I66" si="8">IF(AND(ISNUMBER(F35),ISNUMBER(G35)),IF(F35&gt;G35,E35,IF(G35&gt;F35,D35,"Draw")),"")</f>
        <v>Sweden</v>
      </c>
      <c r="J35" s="6"/>
      <c r="K35" s="6"/>
      <c r="L35" s="51" t="str">
        <f t="shared" ref="L35:L66" si="9">IF(AND(ISNUMBER(J35),ISNUMBER(K35)),IF(J35&gt;K35,D35,IF(K35&gt;J35,E35,"Draw")),"")</f>
        <v/>
      </c>
      <c r="M35" s="52" t="str">
        <f t="shared" ref="M35:M66" si="10">IF(AND(ISNUMBER(J35),ISNUMBER(K35)),IF(J35&gt;K35,E35,IF(K35&gt;J35,D35,"Draw")),"")</f>
        <v/>
      </c>
      <c r="N35" s="2" t="str">
        <f t="shared" ref="N35:N66" si="11">IF(AND(ISNUMBER(J35),ISNUMBER(F35)),J35-F35,"")</f>
        <v/>
      </c>
      <c r="O35" s="2" t="str">
        <f t="shared" ref="O35:O66" si="12">IF(AND(ISNUMBER(K35),ISNUMBER(G35)),K35-G35,"")</f>
        <v/>
      </c>
      <c r="P35" s="2" t="str">
        <f t="shared" ref="P35:P66" si="13">IF(OR(H35="",L35=""),"",IF(H35=L35,1,0))</f>
        <v/>
      </c>
    </row>
    <row r="36" spans="1:16" ht="16" x14ac:dyDescent="0.2">
      <c r="A36" s="2">
        <v>34</v>
      </c>
      <c r="B36" s="2" t="s">
        <v>97</v>
      </c>
      <c r="C36" s="2" t="s">
        <v>30</v>
      </c>
      <c r="D36" s="3" t="s">
        <v>31</v>
      </c>
      <c r="E36" s="3" t="s">
        <v>33</v>
      </c>
      <c r="F36" s="6">
        <v>1</v>
      </c>
      <c r="G36" s="6">
        <v>0</v>
      </c>
      <c r="H36" s="51" t="str">
        <f t="shared" si="7"/>
        <v>Germany</v>
      </c>
      <c r="I36" s="52" t="str">
        <f t="shared" si="8"/>
        <v>Côte d'Ivoire</v>
      </c>
      <c r="J36" s="6"/>
      <c r="K36" s="6"/>
      <c r="L36" s="51" t="str">
        <f t="shared" si="9"/>
        <v/>
      </c>
      <c r="M36" s="52" t="str">
        <f t="shared" si="10"/>
        <v/>
      </c>
      <c r="N36" s="2" t="str">
        <f t="shared" si="11"/>
        <v/>
      </c>
      <c r="O36" s="2" t="str">
        <f t="shared" si="12"/>
        <v/>
      </c>
      <c r="P36" s="2" t="str">
        <f t="shared" si="13"/>
        <v/>
      </c>
    </row>
    <row r="37" spans="1:16" ht="16" x14ac:dyDescent="0.2">
      <c r="A37" s="2">
        <v>35</v>
      </c>
      <c r="B37" s="2" t="s">
        <v>97</v>
      </c>
      <c r="C37" s="2" t="s">
        <v>30</v>
      </c>
      <c r="D37" s="3" t="s">
        <v>32</v>
      </c>
      <c r="E37" s="3" t="s">
        <v>34</v>
      </c>
      <c r="F37" s="6">
        <v>2</v>
      </c>
      <c r="G37" s="6">
        <v>0</v>
      </c>
      <c r="H37" s="51" t="str">
        <f t="shared" si="7"/>
        <v>Ecuador</v>
      </c>
      <c r="I37" s="52" t="str">
        <f t="shared" si="8"/>
        <v>Curaçao</v>
      </c>
      <c r="J37" s="6"/>
      <c r="K37" s="6"/>
      <c r="L37" s="51" t="str">
        <f t="shared" si="9"/>
        <v/>
      </c>
      <c r="M37" s="52" t="str">
        <f t="shared" si="10"/>
        <v/>
      </c>
      <c r="N37" s="2" t="str">
        <f t="shared" si="11"/>
        <v/>
      </c>
      <c r="O37" s="2" t="str">
        <f t="shared" si="12"/>
        <v/>
      </c>
      <c r="P37" s="2" t="str">
        <f t="shared" si="13"/>
        <v/>
      </c>
    </row>
    <row r="38" spans="1:16" ht="16" x14ac:dyDescent="0.2">
      <c r="A38" s="2">
        <v>36</v>
      </c>
      <c r="B38" s="2" t="s">
        <v>97</v>
      </c>
      <c r="C38" s="2" t="s">
        <v>35</v>
      </c>
      <c r="D38" s="3" t="s">
        <v>38</v>
      </c>
      <c r="E38" s="3" t="s">
        <v>37</v>
      </c>
      <c r="F38" s="6">
        <v>0</v>
      </c>
      <c r="G38" s="6">
        <v>2</v>
      </c>
      <c r="H38" s="51" t="str">
        <f t="shared" si="7"/>
        <v>Japan</v>
      </c>
      <c r="I38" s="52" t="str">
        <f t="shared" si="8"/>
        <v>Tunisia</v>
      </c>
      <c r="J38" s="6"/>
      <c r="K38" s="6"/>
      <c r="L38" s="51" t="str">
        <f t="shared" si="9"/>
        <v/>
      </c>
      <c r="M38" s="52" t="str">
        <f t="shared" si="10"/>
        <v/>
      </c>
      <c r="N38" s="2" t="str">
        <f t="shared" si="11"/>
        <v/>
      </c>
      <c r="O38" s="2" t="str">
        <f t="shared" si="12"/>
        <v/>
      </c>
      <c r="P38" s="2" t="str">
        <f t="shared" si="13"/>
        <v/>
      </c>
    </row>
    <row r="39" spans="1:16" ht="16" x14ac:dyDescent="0.2">
      <c r="A39" s="2">
        <v>37</v>
      </c>
      <c r="B39" s="2" t="s">
        <v>98</v>
      </c>
      <c r="C39" s="2" t="s">
        <v>46</v>
      </c>
      <c r="D39" s="3" t="s">
        <v>47</v>
      </c>
      <c r="E39" s="3" t="s">
        <v>49</v>
      </c>
      <c r="F39" s="6">
        <v>3</v>
      </c>
      <c r="G39" s="6">
        <v>0</v>
      </c>
      <c r="H39" s="51" t="str">
        <f t="shared" si="7"/>
        <v>Spain</v>
      </c>
      <c r="I39" s="52" t="str">
        <f t="shared" si="8"/>
        <v>Saudi Arabia</v>
      </c>
      <c r="J39" s="6"/>
      <c r="K39" s="6"/>
      <c r="L39" s="51" t="str">
        <f t="shared" si="9"/>
        <v/>
      </c>
      <c r="M39" s="52" t="str">
        <f t="shared" si="10"/>
        <v/>
      </c>
      <c r="N39" s="2" t="str">
        <f t="shared" si="11"/>
        <v/>
      </c>
      <c r="O39" s="2" t="str">
        <f t="shared" si="12"/>
        <v/>
      </c>
      <c r="P39" s="2" t="str">
        <f t="shared" si="13"/>
        <v/>
      </c>
    </row>
    <row r="40" spans="1:16" ht="16" x14ac:dyDescent="0.2">
      <c r="A40" s="2">
        <v>38</v>
      </c>
      <c r="B40" s="2" t="s">
        <v>98</v>
      </c>
      <c r="C40" s="2" t="s">
        <v>40</v>
      </c>
      <c r="D40" s="3" t="s">
        <v>41</v>
      </c>
      <c r="E40" s="3" t="s">
        <v>42</v>
      </c>
      <c r="F40" s="6">
        <v>2</v>
      </c>
      <c r="G40" s="6">
        <v>1</v>
      </c>
      <c r="H40" s="51" t="str">
        <f t="shared" si="7"/>
        <v>Belgium</v>
      </c>
      <c r="I40" s="52" t="str">
        <f t="shared" si="8"/>
        <v>Iran</v>
      </c>
      <c r="J40" s="6"/>
      <c r="K40" s="6"/>
      <c r="L40" s="51" t="str">
        <f t="shared" si="9"/>
        <v/>
      </c>
      <c r="M40" s="52" t="str">
        <f t="shared" si="10"/>
        <v/>
      </c>
      <c r="N40" s="2" t="str">
        <f t="shared" si="11"/>
        <v/>
      </c>
      <c r="O40" s="2" t="str">
        <f t="shared" si="12"/>
        <v/>
      </c>
      <c r="P40" s="2" t="str">
        <f t="shared" si="13"/>
        <v/>
      </c>
    </row>
    <row r="41" spans="1:16" ht="16" x14ac:dyDescent="0.2">
      <c r="A41" s="2">
        <v>39</v>
      </c>
      <c r="B41" s="2" t="s">
        <v>98</v>
      </c>
      <c r="C41" s="2" t="s">
        <v>46</v>
      </c>
      <c r="D41" s="3" t="s">
        <v>48</v>
      </c>
      <c r="E41" s="3" t="s">
        <v>50</v>
      </c>
      <c r="F41" s="6">
        <v>3</v>
      </c>
      <c r="G41" s="6">
        <v>0</v>
      </c>
      <c r="H41" s="51" t="str">
        <f t="shared" si="7"/>
        <v>Uruguay</v>
      </c>
      <c r="I41" s="52" t="str">
        <f t="shared" si="8"/>
        <v>Cabo Verde</v>
      </c>
      <c r="J41" s="6"/>
      <c r="K41" s="6"/>
      <c r="L41" s="51" t="str">
        <f t="shared" si="9"/>
        <v/>
      </c>
      <c r="M41" s="52" t="str">
        <f t="shared" si="10"/>
        <v/>
      </c>
      <c r="N41" s="2" t="str">
        <f t="shared" si="11"/>
        <v/>
      </c>
      <c r="O41" s="2" t="str">
        <f t="shared" si="12"/>
        <v/>
      </c>
      <c r="P41" s="2" t="str">
        <f t="shared" si="13"/>
        <v/>
      </c>
    </row>
    <row r="42" spans="1:16" ht="16" x14ac:dyDescent="0.2">
      <c r="A42" s="2">
        <v>40</v>
      </c>
      <c r="B42" s="2" t="s">
        <v>98</v>
      </c>
      <c r="C42" s="2" t="s">
        <v>40</v>
      </c>
      <c r="D42" s="3" t="s">
        <v>44</v>
      </c>
      <c r="E42" s="3" t="s">
        <v>43</v>
      </c>
      <c r="F42" s="6">
        <v>0</v>
      </c>
      <c r="G42" s="6">
        <v>2</v>
      </c>
      <c r="H42" s="51" t="str">
        <f t="shared" si="7"/>
        <v>Egypt</v>
      </c>
      <c r="I42" s="52" t="str">
        <f t="shared" si="8"/>
        <v>New Zealand</v>
      </c>
      <c r="J42" s="6"/>
      <c r="K42" s="6"/>
      <c r="L42" s="51" t="str">
        <f t="shared" si="9"/>
        <v/>
      </c>
      <c r="M42" s="52" t="str">
        <f t="shared" si="10"/>
        <v/>
      </c>
      <c r="N42" s="2" t="str">
        <f t="shared" si="11"/>
        <v/>
      </c>
      <c r="O42" s="2" t="str">
        <f t="shared" si="12"/>
        <v/>
      </c>
      <c r="P42" s="2" t="str">
        <f t="shared" si="13"/>
        <v/>
      </c>
    </row>
    <row r="43" spans="1:16" ht="16" x14ac:dyDescent="0.2">
      <c r="A43" s="2">
        <v>41</v>
      </c>
      <c r="B43" s="2" t="s">
        <v>99</v>
      </c>
      <c r="C43" s="2" t="s">
        <v>56</v>
      </c>
      <c r="D43" s="3" t="s">
        <v>57</v>
      </c>
      <c r="E43" s="3" t="s">
        <v>58</v>
      </c>
      <c r="F43" s="6">
        <v>2</v>
      </c>
      <c r="G43" s="6">
        <v>1</v>
      </c>
      <c r="H43" s="51" t="str">
        <f t="shared" si="7"/>
        <v>Argentina</v>
      </c>
      <c r="I43" s="52" t="str">
        <f t="shared" si="8"/>
        <v>Austria</v>
      </c>
      <c r="J43" s="6"/>
      <c r="K43" s="6"/>
      <c r="L43" s="51" t="str">
        <f t="shared" si="9"/>
        <v/>
      </c>
      <c r="M43" s="52" t="str">
        <f t="shared" si="10"/>
        <v/>
      </c>
      <c r="N43" s="2" t="str">
        <f t="shared" si="11"/>
        <v/>
      </c>
      <c r="O43" s="2" t="str">
        <f t="shared" si="12"/>
        <v/>
      </c>
      <c r="P43" s="2" t="str">
        <f t="shared" si="13"/>
        <v/>
      </c>
    </row>
    <row r="44" spans="1:16" ht="16" x14ac:dyDescent="0.2">
      <c r="A44" s="2">
        <v>42</v>
      </c>
      <c r="B44" s="2" t="s">
        <v>99</v>
      </c>
      <c r="C44" s="2" t="s">
        <v>51</v>
      </c>
      <c r="D44" s="3" t="s">
        <v>52</v>
      </c>
      <c r="E44" s="3" t="s">
        <v>55</v>
      </c>
      <c r="F44" s="6">
        <v>3</v>
      </c>
      <c r="G44" s="6">
        <v>0</v>
      </c>
      <c r="H44" s="51" t="str">
        <f t="shared" si="7"/>
        <v>France</v>
      </c>
      <c r="I44" s="52" t="str">
        <f t="shared" si="8"/>
        <v>Iraq</v>
      </c>
      <c r="J44" s="6"/>
      <c r="K44" s="6"/>
      <c r="L44" s="51" t="str">
        <f t="shared" si="9"/>
        <v/>
      </c>
      <c r="M44" s="52" t="str">
        <f t="shared" si="10"/>
        <v/>
      </c>
      <c r="N44" s="2" t="str">
        <f t="shared" si="11"/>
        <v/>
      </c>
      <c r="O44" s="2" t="str">
        <f t="shared" si="12"/>
        <v/>
      </c>
      <c r="P44" s="2" t="str">
        <f t="shared" si="13"/>
        <v/>
      </c>
    </row>
    <row r="45" spans="1:16" ht="16" x14ac:dyDescent="0.2">
      <c r="A45" s="2">
        <v>43</v>
      </c>
      <c r="B45" s="2" t="s">
        <v>99</v>
      </c>
      <c r="C45" s="2" t="s">
        <v>51</v>
      </c>
      <c r="D45" s="3" t="s">
        <v>54</v>
      </c>
      <c r="E45" s="3" t="s">
        <v>53</v>
      </c>
      <c r="F45" s="6">
        <v>2</v>
      </c>
      <c r="G45" s="6">
        <v>1</v>
      </c>
      <c r="H45" s="51" t="str">
        <f t="shared" si="7"/>
        <v>Norway</v>
      </c>
      <c r="I45" s="52" t="str">
        <f t="shared" si="8"/>
        <v>Senegal</v>
      </c>
      <c r="J45" s="6"/>
      <c r="K45" s="6"/>
      <c r="L45" s="51" t="str">
        <f t="shared" si="9"/>
        <v/>
      </c>
      <c r="M45" s="52" t="str">
        <f t="shared" si="10"/>
        <v/>
      </c>
      <c r="N45" s="2" t="str">
        <f t="shared" si="11"/>
        <v/>
      </c>
      <c r="O45" s="2" t="str">
        <f t="shared" si="12"/>
        <v/>
      </c>
      <c r="P45" s="2" t="str">
        <f t="shared" si="13"/>
        <v/>
      </c>
    </row>
    <row r="46" spans="1:16" ht="16" x14ac:dyDescent="0.2">
      <c r="A46" s="2">
        <v>44</v>
      </c>
      <c r="B46" s="2" t="s">
        <v>99</v>
      </c>
      <c r="C46" s="2" t="s">
        <v>56</v>
      </c>
      <c r="D46" s="3" t="s">
        <v>60</v>
      </c>
      <c r="E46" s="3" t="s">
        <v>59</v>
      </c>
      <c r="F46" s="6">
        <v>2</v>
      </c>
      <c r="G46" s="6">
        <v>2</v>
      </c>
      <c r="H46" s="51" t="str">
        <f t="shared" si="7"/>
        <v>Draw</v>
      </c>
      <c r="I46" s="52" t="str">
        <f t="shared" si="8"/>
        <v>Draw</v>
      </c>
      <c r="J46" s="6"/>
      <c r="K46" s="6"/>
      <c r="L46" s="51" t="str">
        <f t="shared" si="9"/>
        <v/>
      </c>
      <c r="M46" s="52" t="str">
        <f t="shared" si="10"/>
        <v/>
      </c>
      <c r="N46" s="2" t="str">
        <f t="shared" si="11"/>
        <v/>
      </c>
      <c r="O46" s="2" t="str">
        <f t="shared" si="12"/>
        <v/>
      </c>
      <c r="P46" s="2" t="str">
        <f t="shared" si="13"/>
        <v/>
      </c>
    </row>
    <row r="47" spans="1:16" ht="16" x14ac:dyDescent="0.2">
      <c r="A47" s="2">
        <v>45</v>
      </c>
      <c r="B47" s="2" t="s">
        <v>100</v>
      </c>
      <c r="C47" s="2" t="s">
        <v>61</v>
      </c>
      <c r="D47" s="3" t="s">
        <v>62</v>
      </c>
      <c r="E47" s="3" t="s">
        <v>64</v>
      </c>
      <c r="F47" s="6">
        <v>2</v>
      </c>
      <c r="G47" s="6">
        <v>1</v>
      </c>
      <c r="H47" s="51" t="str">
        <f t="shared" si="7"/>
        <v>Portugal</v>
      </c>
      <c r="I47" s="52" t="str">
        <f t="shared" si="8"/>
        <v>Uzbekistan</v>
      </c>
      <c r="J47" s="6"/>
      <c r="K47" s="6"/>
      <c r="L47" s="51" t="str">
        <f t="shared" si="9"/>
        <v/>
      </c>
      <c r="M47" s="52" t="str">
        <f t="shared" si="10"/>
        <v/>
      </c>
      <c r="N47" s="2" t="str">
        <f t="shared" si="11"/>
        <v/>
      </c>
      <c r="O47" s="2" t="str">
        <f t="shared" si="12"/>
        <v/>
      </c>
      <c r="P47" s="2" t="str">
        <f t="shared" si="13"/>
        <v/>
      </c>
    </row>
    <row r="48" spans="1:16" ht="16" x14ac:dyDescent="0.2">
      <c r="A48" s="2">
        <v>46</v>
      </c>
      <c r="B48" s="2" t="s">
        <v>100</v>
      </c>
      <c r="C48" s="2" t="s">
        <v>66</v>
      </c>
      <c r="D48" s="3" t="s">
        <v>67</v>
      </c>
      <c r="E48" s="3" t="s">
        <v>70</v>
      </c>
      <c r="F48" s="6">
        <v>2</v>
      </c>
      <c r="G48" s="6">
        <v>1</v>
      </c>
      <c r="H48" s="51" t="str">
        <f t="shared" si="7"/>
        <v>England</v>
      </c>
      <c r="I48" s="52" t="str">
        <f t="shared" si="8"/>
        <v>Ghana</v>
      </c>
      <c r="J48" s="6"/>
      <c r="K48" s="6"/>
      <c r="L48" s="51" t="str">
        <f t="shared" si="9"/>
        <v/>
      </c>
      <c r="M48" s="52" t="str">
        <f t="shared" si="10"/>
        <v/>
      </c>
      <c r="N48" s="2" t="str">
        <f t="shared" si="11"/>
        <v/>
      </c>
      <c r="O48" s="2" t="str">
        <f t="shared" si="12"/>
        <v/>
      </c>
      <c r="P48" s="2" t="str">
        <f t="shared" si="13"/>
        <v/>
      </c>
    </row>
    <row r="49" spans="1:16" ht="16" x14ac:dyDescent="0.2">
      <c r="A49" s="2">
        <v>47</v>
      </c>
      <c r="B49" s="2" t="s">
        <v>100</v>
      </c>
      <c r="C49" s="2" t="s">
        <v>66</v>
      </c>
      <c r="D49" s="3" t="s">
        <v>69</v>
      </c>
      <c r="E49" s="3" t="s">
        <v>68</v>
      </c>
      <c r="F49" s="6">
        <v>0</v>
      </c>
      <c r="G49" s="6">
        <v>2</v>
      </c>
      <c r="H49" s="51" t="str">
        <f t="shared" si="7"/>
        <v>Croatia</v>
      </c>
      <c r="I49" s="52" t="str">
        <f t="shared" si="8"/>
        <v>Panama</v>
      </c>
      <c r="J49" s="6"/>
      <c r="K49" s="6"/>
      <c r="L49" s="51" t="str">
        <f t="shared" si="9"/>
        <v/>
      </c>
      <c r="M49" s="52" t="str">
        <f t="shared" si="10"/>
        <v/>
      </c>
      <c r="N49" s="2" t="str">
        <f t="shared" si="11"/>
        <v/>
      </c>
      <c r="O49" s="2" t="str">
        <f t="shared" si="12"/>
        <v/>
      </c>
      <c r="P49" s="2" t="str">
        <f t="shared" si="13"/>
        <v/>
      </c>
    </row>
    <row r="50" spans="1:16" ht="16" x14ac:dyDescent="0.2">
      <c r="A50" s="2">
        <v>48</v>
      </c>
      <c r="B50" s="2" t="s">
        <v>100</v>
      </c>
      <c r="C50" s="2" t="s">
        <v>61</v>
      </c>
      <c r="D50" s="3" t="s">
        <v>63</v>
      </c>
      <c r="E50" s="3" t="s">
        <v>65</v>
      </c>
      <c r="F50" s="6">
        <v>1</v>
      </c>
      <c r="G50" s="6">
        <v>0</v>
      </c>
      <c r="H50" s="51" t="str">
        <f t="shared" si="7"/>
        <v>Colombia</v>
      </c>
      <c r="I50" s="52" t="str">
        <f t="shared" si="8"/>
        <v>DR Congo</v>
      </c>
      <c r="J50" s="6"/>
      <c r="K50" s="6"/>
      <c r="L50" s="51" t="str">
        <f t="shared" si="9"/>
        <v/>
      </c>
      <c r="M50" s="52" t="str">
        <f t="shared" si="10"/>
        <v/>
      </c>
      <c r="N50" s="2" t="str">
        <f t="shared" si="11"/>
        <v/>
      </c>
      <c r="O50" s="2" t="str">
        <f t="shared" si="12"/>
        <v/>
      </c>
      <c r="P50" s="2" t="str">
        <f t="shared" si="13"/>
        <v/>
      </c>
    </row>
    <row r="51" spans="1:16" ht="16" x14ac:dyDescent="0.2">
      <c r="A51" s="2">
        <v>49</v>
      </c>
      <c r="B51" s="2" t="s">
        <v>101</v>
      </c>
      <c r="C51" s="2" t="s">
        <v>13</v>
      </c>
      <c r="D51" s="3" t="s">
        <v>15</v>
      </c>
      <c r="E51" s="3" t="s">
        <v>14</v>
      </c>
      <c r="F51" s="6">
        <v>1</v>
      </c>
      <c r="G51" s="6">
        <v>1</v>
      </c>
      <c r="H51" s="51" t="str">
        <f t="shared" si="7"/>
        <v>Draw</v>
      </c>
      <c r="I51" s="52" t="str">
        <f t="shared" si="8"/>
        <v>Draw</v>
      </c>
      <c r="J51" s="6"/>
      <c r="K51" s="6"/>
      <c r="L51" s="51" t="str">
        <f t="shared" si="9"/>
        <v/>
      </c>
      <c r="M51" s="52" t="str">
        <f t="shared" si="10"/>
        <v/>
      </c>
      <c r="N51" s="2" t="str">
        <f t="shared" si="11"/>
        <v/>
      </c>
      <c r="O51" s="2" t="str">
        <f t="shared" si="12"/>
        <v/>
      </c>
      <c r="P51" s="2" t="str">
        <f t="shared" si="13"/>
        <v/>
      </c>
    </row>
    <row r="52" spans="1:16" ht="16" x14ac:dyDescent="0.2">
      <c r="A52" s="2">
        <v>50</v>
      </c>
      <c r="B52" s="2" t="s">
        <v>101</v>
      </c>
      <c r="C52" s="2" t="s">
        <v>13</v>
      </c>
      <c r="D52" s="3" t="s">
        <v>17</v>
      </c>
      <c r="E52" s="3" t="s">
        <v>16</v>
      </c>
      <c r="F52" s="6">
        <v>2</v>
      </c>
      <c r="G52" s="6">
        <v>0</v>
      </c>
      <c r="H52" s="51" t="str">
        <f t="shared" si="7"/>
        <v>Bosnia &amp; Herzegovina</v>
      </c>
      <c r="I52" s="52" t="str">
        <f t="shared" si="8"/>
        <v>Qatar</v>
      </c>
      <c r="J52" s="6"/>
      <c r="K52" s="6"/>
      <c r="L52" s="51" t="str">
        <f t="shared" si="9"/>
        <v/>
      </c>
      <c r="M52" s="52" t="str">
        <f t="shared" si="10"/>
        <v/>
      </c>
      <c r="N52" s="2" t="str">
        <f t="shared" si="11"/>
        <v/>
      </c>
      <c r="O52" s="2" t="str">
        <f t="shared" si="12"/>
        <v/>
      </c>
      <c r="P52" s="2" t="str">
        <f t="shared" si="13"/>
        <v/>
      </c>
    </row>
    <row r="53" spans="1:16" ht="16" x14ac:dyDescent="0.2">
      <c r="A53" s="2">
        <v>51</v>
      </c>
      <c r="B53" s="2" t="s">
        <v>101</v>
      </c>
      <c r="C53" s="2" t="s">
        <v>18</v>
      </c>
      <c r="D53" s="3" t="s">
        <v>22</v>
      </c>
      <c r="E53" s="3" t="s">
        <v>19</v>
      </c>
      <c r="F53" s="6">
        <v>1</v>
      </c>
      <c r="G53" s="6">
        <v>2</v>
      </c>
      <c r="H53" s="51" t="str">
        <f t="shared" si="7"/>
        <v>Brazil</v>
      </c>
      <c r="I53" s="52" t="str">
        <f t="shared" si="8"/>
        <v>Scotland</v>
      </c>
      <c r="J53" s="6"/>
      <c r="K53" s="6"/>
      <c r="L53" s="51" t="str">
        <f t="shared" si="9"/>
        <v/>
      </c>
      <c r="M53" s="52" t="str">
        <f t="shared" si="10"/>
        <v/>
      </c>
      <c r="N53" s="2" t="str">
        <f t="shared" si="11"/>
        <v/>
      </c>
      <c r="O53" s="2" t="str">
        <f t="shared" si="12"/>
        <v/>
      </c>
      <c r="P53" s="2" t="str">
        <f t="shared" si="13"/>
        <v/>
      </c>
    </row>
    <row r="54" spans="1:16" ht="16" x14ac:dyDescent="0.2">
      <c r="A54" s="2">
        <v>52</v>
      </c>
      <c r="B54" s="2" t="s">
        <v>101</v>
      </c>
      <c r="C54" s="2" t="s">
        <v>18</v>
      </c>
      <c r="D54" s="3" t="s">
        <v>21</v>
      </c>
      <c r="E54" s="3" t="s">
        <v>23</v>
      </c>
      <c r="F54" s="6">
        <v>3</v>
      </c>
      <c r="G54" s="6">
        <v>0</v>
      </c>
      <c r="H54" s="51" t="str">
        <f t="shared" si="7"/>
        <v>Morocco</v>
      </c>
      <c r="I54" s="52" t="str">
        <f t="shared" si="8"/>
        <v>Haiti</v>
      </c>
      <c r="J54" s="6"/>
      <c r="K54" s="6"/>
      <c r="L54" s="51" t="str">
        <f t="shared" si="9"/>
        <v/>
      </c>
      <c r="M54" s="52" t="str">
        <f t="shared" si="10"/>
        <v/>
      </c>
      <c r="N54" s="2" t="str">
        <f t="shared" si="11"/>
        <v/>
      </c>
      <c r="O54" s="2" t="str">
        <f t="shared" si="12"/>
        <v/>
      </c>
      <c r="P54" s="2" t="str">
        <f t="shared" si="13"/>
        <v/>
      </c>
    </row>
    <row r="55" spans="1:16" ht="16" x14ac:dyDescent="0.2">
      <c r="A55" s="2">
        <v>53</v>
      </c>
      <c r="B55" s="2" t="s">
        <v>101</v>
      </c>
      <c r="C55" s="2" t="s">
        <v>4</v>
      </c>
      <c r="D55" s="3" t="s">
        <v>11</v>
      </c>
      <c r="E55" s="3" t="s">
        <v>5</v>
      </c>
      <c r="F55" s="6">
        <v>1</v>
      </c>
      <c r="G55" s="6">
        <v>2</v>
      </c>
      <c r="H55" s="51" t="str">
        <f t="shared" si="7"/>
        <v>Mexico</v>
      </c>
      <c r="I55" s="52" t="str">
        <f t="shared" si="8"/>
        <v>Czechia</v>
      </c>
      <c r="J55" s="6"/>
      <c r="K55" s="6"/>
      <c r="L55" s="51" t="str">
        <f t="shared" si="9"/>
        <v/>
      </c>
      <c r="M55" s="52" t="str">
        <f t="shared" si="10"/>
        <v/>
      </c>
      <c r="N55" s="2" t="str">
        <f t="shared" si="11"/>
        <v/>
      </c>
      <c r="O55" s="2" t="str">
        <f t="shared" si="12"/>
        <v/>
      </c>
      <c r="P55" s="2" t="str">
        <f t="shared" si="13"/>
        <v/>
      </c>
    </row>
    <row r="56" spans="1:16" ht="16" x14ac:dyDescent="0.2">
      <c r="A56" s="2">
        <v>54</v>
      </c>
      <c r="B56" s="2" t="s">
        <v>101</v>
      </c>
      <c r="C56" s="2" t="s">
        <v>4</v>
      </c>
      <c r="D56" s="3" t="s">
        <v>9</v>
      </c>
      <c r="E56" s="3" t="s">
        <v>7</v>
      </c>
      <c r="F56" s="6">
        <v>0</v>
      </c>
      <c r="G56" s="6">
        <v>2</v>
      </c>
      <c r="H56" s="51" t="str">
        <f t="shared" si="7"/>
        <v>South Korea</v>
      </c>
      <c r="I56" s="52" t="str">
        <f t="shared" si="8"/>
        <v>South Africa</v>
      </c>
      <c r="J56" s="6"/>
      <c r="K56" s="6"/>
      <c r="L56" s="51" t="str">
        <f t="shared" si="9"/>
        <v/>
      </c>
      <c r="M56" s="52" t="str">
        <f t="shared" si="10"/>
        <v/>
      </c>
      <c r="N56" s="2" t="str">
        <f t="shared" si="11"/>
        <v/>
      </c>
      <c r="O56" s="2" t="str">
        <f t="shared" si="12"/>
        <v/>
      </c>
      <c r="P56" s="2" t="str">
        <f t="shared" si="13"/>
        <v/>
      </c>
    </row>
    <row r="57" spans="1:16" ht="16" x14ac:dyDescent="0.2">
      <c r="A57" s="2">
        <v>55</v>
      </c>
      <c r="B57" s="2" t="s">
        <v>102</v>
      </c>
      <c r="C57" s="2" t="s">
        <v>30</v>
      </c>
      <c r="D57" s="3" t="s">
        <v>32</v>
      </c>
      <c r="E57" s="3" t="s">
        <v>31</v>
      </c>
      <c r="F57" s="6">
        <v>2</v>
      </c>
      <c r="G57" s="6">
        <v>1</v>
      </c>
      <c r="H57" s="51" t="str">
        <f t="shared" si="7"/>
        <v>Ecuador</v>
      </c>
      <c r="I57" s="52" t="str">
        <f t="shared" si="8"/>
        <v>Germany</v>
      </c>
      <c r="J57" s="6"/>
      <c r="K57" s="6"/>
      <c r="L57" s="51" t="str">
        <f t="shared" si="9"/>
        <v/>
      </c>
      <c r="M57" s="52" t="str">
        <f t="shared" si="10"/>
        <v/>
      </c>
      <c r="N57" s="2" t="str">
        <f t="shared" si="11"/>
        <v/>
      </c>
      <c r="O57" s="2" t="str">
        <f t="shared" si="12"/>
        <v/>
      </c>
      <c r="P57" s="2" t="str">
        <f t="shared" si="13"/>
        <v/>
      </c>
    </row>
    <row r="58" spans="1:16" ht="16" x14ac:dyDescent="0.2">
      <c r="A58" s="2">
        <v>56</v>
      </c>
      <c r="B58" s="2" t="s">
        <v>102</v>
      </c>
      <c r="C58" s="2" t="s">
        <v>30</v>
      </c>
      <c r="D58" s="3" t="s">
        <v>34</v>
      </c>
      <c r="E58" s="3" t="s">
        <v>33</v>
      </c>
      <c r="F58" s="6">
        <v>1</v>
      </c>
      <c r="G58" s="6">
        <v>1</v>
      </c>
      <c r="H58" s="51" t="str">
        <f t="shared" si="7"/>
        <v>Draw</v>
      </c>
      <c r="I58" s="52" t="str">
        <f t="shared" si="8"/>
        <v>Draw</v>
      </c>
      <c r="J58" s="6"/>
      <c r="K58" s="6"/>
      <c r="L58" s="51" t="str">
        <f t="shared" si="9"/>
        <v/>
      </c>
      <c r="M58" s="52" t="str">
        <f t="shared" si="10"/>
        <v/>
      </c>
      <c r="N58" s="2" t="str">
        <f t="shared" si="11"/>
        <v/>
      </c>
      <c r="O58" s="2" t="str">
        <f t="shared" si="12"/>
        <v/>
      </c>
      <c r="P58" s="2" t="str">
        <f t="shared" si="13"/>
        <v/>
      </c>
    </row>
    <row r="59" spans="1:16" ht="16" x14ac:dyDescent="0.2">
      <c r="A59" s="2">
        <v>57</v>
      </c>
      <c r="B59" s="2" t="s">
        <v>102</v>
      </c>
      <c r="C59" s="2" t="s">
        <v>35</v>
      </c>
      <c r="D59" s="3" t="s">
        <v>37</v>
      </c>
      <c r="E59" s="3" t="s">
        <v>39</v>
      </c>
      <c r="F59" s="6">
        <v>2</v>
      </c>
      <c r="G59" s="6">
        <v>1</v>
      </c>
      <c r="H59" s="51" t="str">
        <f t="shared" si="7"/>
        <v>Japan</v>
      </c>
      <c r="I59" s="52" t="str">
        <f t="shared" si="8"/>
        <v>Sweden</v>
      </c>
      <c r="J59" s="6"/>
      <c r="K59" s="6"/>
      <c r="L59" s="51" t="str">
        <f t="shared" si="9"/>
        <v/>
      </c>
      <c r="M59" s="52" t="str">
        <f t="shared" si="10"/>
        <v/>
      </c>
      <c r="N59" s="2" t="str">
        <f t="shared" si="11"/>
        <v/>
      </c>
      <c r="O59" s="2" t="str">
        <f t="shared" si="12"/>
        <v/>
      </c>
      <c r="P59" s="2" t="str">
        <f t="shared" si="13"/>
        <v/>
      </c>
    </row>
    <row r="60" spans="1:16" ht="16" x14ac:dyDescent="0.2">
      <c r="A60" s="2">
        <v>58</v>
      </c>
      <c r="B60" s="2" t="s">
        <v>102</v>
      </c>
      <c r="C60" s="2" t="s">
        <v>35</v>
      </c>
      <c r="D60" s="3" t="s">
        <v>38</v>
      </c>
      <c r="E60" s="3" t="s">
        <v>36</v>
      </c>
      <c r="F60" s="6">
        <v>1</v>
      </c>
      <c r="G60" s="6">
        <v>2</v>
      </c>
      <c r="H60" s="51" t="str">
        <f t="shared" si="7"/>
        <v>Netherlands</v>
      </c>
      <c r="I60" s="52" t="str">
        <f t="shared" si="8"/>
        <v>Tunisia</v>
      </c>
      <c r="J60" s="6"/>
      <c r="K60" s="6"/>
      <c r="L60" s="51" t="str">
        <f t="shared" si="9"/>
        <v/>
      </c>
      <c r="M60" s="52" t="str">
        <f t="shared" si="10"/>
        <v/>
      </c>
      <c r="N60" s="2" t="str">
        <f t="shared" si="11"/>
        <v/>
      </c>
      <c r="O60" s="2" t="str">
        <f t="shared" si="12"/>
        <v/>
      </c>
      <c r="P60" s="2" t="str">
        <f t="shared" si="13"/>
        <v/>
      </c>
    </row>
    <row r="61" spans="1:16" ht="16" x14ac:dyDescent="0.2">
      <c r="A61" s="2">
        <v>59</v>
      </c>
      <c r="B61" s="2" t="s">
        <v>102</v>
      </c>
      <c r="C61" s="2" t="s">
        <v>25</v>
      </c>
      <c r="D61" s="3" t="s">
        <v>29</v>
      </c>
      <c r="E61" s="3" t="s">
        <v>26</v>
      </c>
      <c r="F61" s="6">
        <v>2</v>
      </c>
      <c r="G61" s="6">
        <v>2</v>
      </c>
      <c r="H61" s="51" t="str">
        <f t="shared" si="7"/>
        <v>Draw</v>
      </c>
      <c r="I61" s="52" t="str">
        <f t="shared" si="8"/>
        <v>Draw</v>
      </c>
      <c r="J61" s="6"/>
      <c r="K61" s="6"/>
      <c r="L61" s="51" t="str">
        <f t="shared" si="9"/>
        <v/>
      </c>
      <c r="M61" s="52" t="str">
        <f t="shared" si="10"/>
        <v/>
      </c>
      <c r="N61" s="2" t="str">
        <f t="shared" si="11"/>
        <v/>
      </c>
      <c r="O61" s="2" t="str">
        <f t="shared" si="12"/>
        <v/>
      </c>
      <c r="P61" s="2" t="str">
        <f t="shared" si="13"/>
        <v/>
      </c>
    </row>
    <row r="62" spans="1:16" ht="16" x14ac:dyDescent="0.2">
      <c r="A62" s="2">
        <v>60</v>
      </c>
      <c r="B62" s="2" t="s">
        <v>102</v>
      </c>
      <c r="C62" s="2" t="s">
        <v>25</v>
      </c>
      <c r="D62" s="3" t="s">
        <v>27</v>
      </c>
      <c r="E62" s="3" t="s">
        <v>28</v>
      </c>
      <c r="F62" s="6">
        <v>1</v>
      </c>
      <c r="G62" s="6">
        <v>2</v>
      </c>
      <c r="H62" s="51" t="str">
        <f t="shared" si="7"/>
        <v>Australia</v>
      </c>
      <c r="I62" s="52" t="str">
        <f t="shared" si="8"/>
        <v>Paraguay</v>
      </c>
      <c r="J62" s="6"/>
      <c r="K62" s="6"/>
      <c r="L62" s="51" t="str">
        <f t="shared" si="9"/>
        <v/>
      </c>
      <c r="M62" s="52" t="str">
        <f t="shared" si="10"/>
        <v/>
      </c>
      <c r="N62" s="2" t="str">
        <f t="shared" si="11"/>
        <v/>
      </c>
      <c r="O62" s="2" t="str">
        <f t="shared" si="12"/>
        <v/>
      </c>
      <c r="P62" s="2" t="str">
        <f t="shared" si="13"/>
        <v/>
      </c>
    </row>
    <row r="63" spans="1:16" ht="16" x14ac:dyDescent="0.2">
      <c r="A63" s="2">
        <v>61</v>
      </c>
      <c r="B63" s="2" t="s">
        <v>103</v>
      </c>
      <c r="C63" s="2" t="s">
        <v>51</v>
      </c>
      <c r="D63" s="3" t="s">
        <v>54</v>
      </c>
      <c r="E63" s="3" t="s">
        <v>52</v>
      </c>
      <c r="F63" s="6">
        <v>1</v>
      </c>
      <c r="G63" s="6">
        <v>2</v>
      </c>
      <c r="H63" s="51" t="str">
        <f t="shared" si="7"/>
        <v>France</v>
      </c>
      <c r="I63" s="52" t="str">
        <f t="shared" si="8"/>
        <v>Norway</v>
      </c>
      <c r="J63" s="6"/>
      <c r="K63" s="6"/>
      <c r="L63" s="51" t="str">
        <f t="shared" si="9"/>
        <v/>
      </c>
      <c r="M63" s="52" t="str">
        <f t="shared" si="10"/>
        <v/>
      </c>
      <c r="N63" s="2" t="str">
        <f t="shared" si="11"/>
        <v/>
      </c>
      <c r="O63" s="2" t="str">
        <f t="shared" si="12"/>
        <v/>
      </c>
      <c r="P63" s="2" t="str">
        <f t="shared" si="13"/>
        <v/>
      </c>
    </row>
    <row r="64" spans="1:16" ht="16" x14ac:dyDescent="0.2">
      <c r="A64" s="2">
        <v>62</v>
      </c>
      <c r="B64" s="2" t="s">
        <v>103</v>
      </c>
      <c r="C64" s="2" t="s">
        <v>51</v>
      </c>
      <c r="D64" s="3" t="s">
        <v>53</v>
      </c>
      <c r="E64" s="3" t="s">
        <v>55</v>
      </c>
      <c r="F64" s="6">
        <v>1</v>
      </c>
      <c r="G64" s="6">
        <v>0</v>
      </c>
      <c r="H64" s="51" t="str">
        <f t="shared" si="7"/>
        <v>Senegal</v>
      </c>
      <c r="I64" s="52" t="str">
        <f t="shared" si="8"/>
        <v>Iraq</v>
      </c>
      <c r="J64" s="6"/>
      <c r="K64" s="6"/>
      <c r="L64" s="51" t="str">
        <f t="shared" si="9"/>
        <v/>
      </c>
      <c r="M64" s="52" t="str">
        <f t="shared" si="10"/>
        <v/>
      </c>
      <c r="N64" s="2" t="str">
        <f t="shared" si="11"/>
        <v/>
      </c>
      <c r="O64" s="2" t="str">
        <f t="shared" si="12"/>
        <v/>
      </c>
      <c r="P64" s="2" t="str">
        <f t="shared" si="13"/>
        <v/>
      </c>
    </row>
    <row r="65" spans="1:16" ht="16" x14ac:dyDescent="0.2">
      <c r="A65" s="2">
        <v>63</v>
      </c>
      <c r="B65" s="2" t="s">
        <v>103</v>
      </c>
      <c r="C65" s="2" t="s">
        <v>46</v>
      </c>
      <c r="D65" s="3" t="s">
        <v>50</v>
      </c>
      <c r="E65" s="3" t="s">
        <v>49</v>
      </c>
      <c r="F65" s="6">
        <v>0</v>
      </c>
      <c r="G65" s="6">
        <v>3</v>
      </c>
      <c r="H65" s="51" t="str">
        <f t="shared" si="7"/>
        <v>Saudi Arabia</v>
      </c>
      <c r="I65" s="52" t="str">
        <f t="shared" si="8"/>
        <v>Cabo Verde</v>
      </c>
      <c r="J65" s="6"/>
      <c r="K65" s="6"/>
      <c r="L65" s="51" t="str">
        <f t="shared" si="9"/>
        <v/>
      </c>
      <c r="M65" s="52" t="str">
        <f t="shared" si="10"/>
        <v/>
      </c>
      <c r="N65" s="2" t="str">
        <f t="shared" si="11"/>
        <v/>
      </c>
      <c r="O65" s="2" t="str">
        <f t="shared" si="12"/>
        <v/>
      </c>
      <c r="P65" s="2" t="str">
        <f t="shared" si="13"/>
        <v/>
      </c>
    </row>
    <row r="66" spans="1:16" ht="16" x14ac:dyDescent="0.2">
      <c r="A66" s="2">
        <v>64</v>
      </c>
      <c r="B66" s="2" t="s">
        <v>103</v>
      </c>
      <c r="C66" s="2" t="s">
        <v>46</v>
      </c>
      <c r="D66" s="3" t="s">
        <v>48</v>
      </c>
      <c r="E66" s="3" t="s">
        <v>47</v>
      </c>
      <c r="F66" s="6">
        <v>1</v>
      </c>
      <c r="G66" s="6">
        <v>2</v>
      </c>
      <c r="H66" s="51" t="str">
        <f t="shared" si="7"/>
        <v>Spain</v>
      </c>
      <c r="I66" s="52" t="str">
        <f t="shared" si="8"/>
        <v>Uruguay</v>
      </c>
      <c r="J66" s="6"/>
      <c r="K66" s="6"/>
      <c r="L66" s="51" t="str">
        <f t="shared" si="9"/>
        <v/>
      </c>
      <c r="M66" s="52" t="str">
        <f t="shared" si="10"/>
        <v/>
      </c>
      <c r="N66" s="2" t="str">
        <f t="shared" si="11"/>
        <v/>
      </c>
      <c r="O66" s="2" t="str">
        <f t="shared" si="12"/>
        <v/>
      </c>
      <c r="P66" s="2" t="str">
        <f t="shared" si="13"/>
        <v/>
      </c>
    </row>
    <row r="67" spans="1:16" ht="16" x14ac:dyDescent="0.2">
      <c r="A67" s="2">
        <v>65</v>
      </c>
      <c r="B67" s="2" t="s">
        <v>103</v>
      </c>
      <c r="C67" s="2" t="s">
        <v>40</v>
      </c>
      <c r="D67" s="3" t="s">
        <v>43</v>
      </c>
      <c r="E67" s="3" t="s">
        <v>42</v>
      </c>
      <c r="F67" s="6">
        <v>2</v>
      </c>
      <c r="G67" s="6">
        <v>0</v>
      </c>
      <c r="H67" s="51" t="str">
        <f t="shared" ref="H67:H74" si="14">IF(AND(ISNUMBER(F67),ISNUMBER(G67)),IF(F67&gt;G67,D67,IF(G67&gt;F67,E67,"Draw")),"")</f>
        <v>Egypt</v>
      </c>
      <c r="I67" s="52" t="str">
        <f t="shared" ref="I67:I74" si="15">IF(AND(ISNUMBER(F67),ISNUMBER(G67)),IF(F67&gt;G67,E67,IF(G67&gt;F67,D67,"Draw")),"")</f>
        <v>Iran</v>
      </c>
      <c r="J67" s="6"/>
      <c r="K67" s="6"/>
      <c r="L67" s="51" t="str">
        <f t="shared" ref="L67:L74" si="16">IF(AND(ISNUMBER(J67),ISNUMBER(K67)),IF(J67&gt;K67,D67,IF(K67&gt;J67,E67,"Draw")),"")</f>
        <v/>
      </c>
      <c r="M67" s="52" t="str">
        <f t="shared" ref="M67:M74" si="17">IF(AND(ISNUMBER(J67),ISNUMBER(K67)),IF(J67&gt;K67,E67,IF(K67&gt;J67,D67,"Draw")),"")</f>
        <v/>
      </c>
      <c r="N67" s="2" t="str">
        <f t="shared" ref="N67:N74" si="18">IF(AND(ISNUMBER(J67),ISNUMBER(F67)),J67-F67,"")</f>
        <v/>
      </c>
      <c r="O67" s="2" t="str">
        <f t="shared" ref="O67:O74" si="19">IF(AND(ISNUMBER(K67),ISNUMBER(G67)),K67-G67,"")</f>
        <v/>
      </c>
      <c r="P67" s="2" t="str">
        <f t="shared" ref="P67:P74" si="20">IF(OR(H67="",L67=""),"",IF(H67=L67,1,0))</f>
        <v/>
      </c>
    </row>
    <row r="68" spans="1:16" ht="16" x14ac:dyDescent="0.2">
      <c r="A68" s="2">
        <v>66</v>
      </c>
      <c r="B68" s="2" t="s">
        <v>103</v>
      </c>
      <c r="C68" s="2" t="s">
        <v>40</v>
      </c>
      <c r="D68" s="3" t="s">
        <v>44</v>
      </c>
      <c r="E68" s="3" t="s">
        <v>41</v>
      </c>
      <c r="F68" s="6">
        <v>0</v>
      </c>
      <c r="G68" s="6">
        <v>2</v>
      </c>
      <c r="H68" s="51" t="str">
        <f t="shared" si="14"/>
        <v>Belgium</v>
      </c>
      <c r="I68" s="52" t="str">
        <f t="shared" si="15"/>
        <v>New Zealand</v>
      </c>
      <c r="J68" s="6"/>
      <c r="K68" s="6"/>
      <c r="L68" s="51" t="str">
        <f t="shared" si="16"/>
        <v/>
      </c>
      <c r="M68" s="52" t="str">
        <f t="shared" si="17"/>
        <v/>
      </c>
      <c r="N68" s="2" t="str">
        <f t="shared" si="18"/>
        <v/>
      </c>
      <c r="O68" s="2" t="str">
        <f t="shared" si="19"/>
        <v/>
      </c>
      <c r="P68" s="2" t="str">
        <f t="shared" si="20"/>
        <v/>
      </c>
    </row>
    <row r="69" spans="1:16" ht="16" x14ac:dyDescent="0.2">
      <c r="A69" s="2">
        <v>67</v>
      </c>
      <c r="B69" s="2" t="s">
        <v>104</v>
      </c>
      <c r="C69" s="2" t="s">
        <v>66</v>
      </c>
      <c r="D69" s="3" t="s">
        <v>69</v>
      </c>
      <c r="E69" s="3" t="s">
        <v>67</v>
      </c>
      <c r="F69" s="6">
        <v>0</v>
      </c>
      <c r="G69" s="6">
        <v>2</v>
      </c>
      <c r="H69" s="51" t="str">
        <f t="shared" si="14"/>
        <v>England</v>
      </c>
      <c r="I69" s="52" t="str">
        <f t="shared" si="15"/>
        <v>Panama</v>
      </c>
      <c r="J69" s="6"/>
      <c r="K69" s="6"/>
      <c r="L69" s="51" t="str">
        <f t="shared" si="16"/>
        <v/>
      </c>
      <c r="M69" s="52" t="str">
        <f t="shared" si="17"/>
        <v/>
      </c>
      <c r="N69" s="2" t="str">
        <f t="shared" si="18"/>
        <v/>
      </c>
      <c r="O69" s="2" t="str">
        <f t="shared" si="19"/>
        <v/>
      </c>
      <c r="P69" s="2" t="str">
        <f t="shared" si="20"/>
        <v/>
      </c>
    </row>
    <row r="70" spans="1:16" ht="16" x14ac:dyDescent="0.2">
      <c r="A70" s="2">
        <v>68</v>
      </c>
      <c r="B70" s="2" t="s">
        <v>104</v>
      </c>
      <c r="C70" s="2" t="s">
        <v>66</v>
      </c>
      <c r="D70" s="3" t="s">
        <v>68</v>
      </c>
      <c r="E70" s="3" t="s">
        <v>70</v>
      </c>
      <c r="F70" s="6">
        <v>2</v>
      </c>
      <c r="G70" s="6">
        <v>1</v>
      </c>
      <c r="H70" s="51" t="str">
        <f t="shared" si="14"/>
        <v>Croatia</v>
      </c>
      <c r="I70" s="52" t="str">
        <f t="shared" si="15"/>
        <v>Ghana</v>
      </c>
      <c r="J70" s="6"/>
      <c r="K70" s="6"/>
      <c r="L70" s="51" t="str">
        <f t="shared" si="16"/>
        <v/>
      </c>
      <c r="M70" s="52" t="str">
        <f t="shared" si="17"/>
        <v/>
      </c>
      <c r="N70" s="2" t="str">
        <f t="shared" si="18"/>
        <v/>
      </c>
      <c r="O70" s="2" t="str">
        <f t="shared" si="19"/>
        <v/>
      </c>
      <c r="P70" s="2" t="str">
        <f t="shared" si="20"/>
        <v/>
      </c>
    </row>
    <row r="71" spans="1:16" ht="16" x14ac:dyDescent="0.2">
      <c r="A71" s="2">
        <v>69</v>
      </c>
      <c r="B71" s="2" t="s">
        <v>104</v>
      </c>
      <c r="C71" s="2" t="s">
        <v>61</v>
      </c>
      <c r="D71" s="3" t="s">
        <v>63</v>
      </c>
      <c r="E71" s="3" t="s">
        <v>62</v>
      </c>
      <c r="F71" s="6">
        <v>1</v>
      </c>
      <c r="G71" s="6">
        <v>2</v>
      </c>
      <c r="H71" s="51" t="str">
        <f t="shared" si="14"/>
        <v>Portugal</v>
      </c>
      <c r="I71" s="52" t="str">
        <f t="shared" si="15"/>
        <v>Colombia</v>
      </c>
      <c r="J71" s="6"/>
      <c r="K71" s="6"/>
      <c r="L71" s="51" t="str">
        <f t="shared" si="16"/>
        <v/>
      </c>
      <c r="M71" s="52" t="str">
        <f t="shared" si="17"/>
        <v/>
      </c>
      <c r="N71" s="2" t="str">
        <f t="shared" si="18"/>
        <v/>
      </c>
      <c r="O71" s="2" t="str">
        <f t="shared" si="19"/>
        <v/>
      </c>
      <c r="P71" s="2" t="str">
        <f t="shared" si="20"/>
        <v/>
      </c>
    </row>
    <row r="72" spans="1:16" ht="16" x14ac:dyDescent="0.2">
      <c r="A72" s="2">
        <v>70</v>
      </c>
      <c r="B72" s="2" t="s">
        <v>104</v>
      </c>
      <c r="C72" s="2" t="s">
        <v>61</v>
      </c>
      <c r="D72" s="3" t="s">
        <v>65</v>
      </c>
      <c r="E72" s="3" t="s">
        <v>64</v>
      </c>
      <c r="F72" s="6">
        <v>3</v>
      </c>
      <c r="G72" s="6">
        <v>0</v>
      </c>
      <c r="H72" s="51" t="str">
        <f t="shared" si="14"/>
        <v>DR Congo</v>
      </c>
      <c r="I72" s="52" t="str">
        <f t="shared" si="15"/>
        <v>Uzbekistan</v>
      </c>
      <c r="J72" s="6"/>
      <c r="K72" s="6"/>
      <c r="L72" s="51" t="str">
        <f t="shared" si="16"/>
        <v/>
      </c>
      <c r="M72" s="52" t="str">
        <f t="shared" si="17"/>
        <v/>
      </c>
      <c r="N72" s="2" t="str">
        <f t="shared" si="18"/>
        <v/>
      </c>
      <c r="O72" s="2" t="str">
        <f t="shared" si="19"/>
        <v/>
      </c>
      <c r="P72" s="2" t="str">
        <f t="shared" si="20"/>
        <v/>
      </c>
    </row>
    <row r="73" spans="1:16" ht="16" x14ac:dyDescent="0.2">
      <c r="A73" s="2">
        <v>71</v>
      </c>
      <c r="B73" s="2" t="s">
        <v>104</v>
      </c>
      <c r="C73" s="2" t="s">
        <v>56</v>
      </c>
      <c r="D73" s="3" t="s">
        <v>59</v>
      </c>
      <c r="E73" s="3" t="s">
        <v>58</v>
      </c>
      <c r="F73" s="6">
        <v>1</v>
      </c>
      <c r="G73" s="6">
        <v>2</v>
      </c>
      <c r="H73" s="51" t="str">
        <f t="shared" si="14"/>
        <v>Austria</v>
      </c>
      <c r="I73" s="52" t="str">
        <f t="shared" si="15"/>
        <v>Algeria</v>
      </c>
      <c r="J73" s="6"/>
      <c r="K73" s="6"/>
      <c r="L73" s="51" t="str">
        <f t="shared" si="16"/>
        <v/>
      </c>
      <c r="M73" s="52" t="str">
        <f t="shared" si="17"/>
        <v/>
      </c>
      <c r="N73" s="2" t="str">
        <f t="shared" si="18"/>
        <v/>
      </c>
      <c r="O73" s="2" t="str">
        <f t="shared" si="19"/>
        <v/>
      </c>
      <c r="P73" s="2" t="str">
        <f t="shared" si="20"/>
        <v/>
      </c>
    </row>
    <row r="74" spans="1:16" ht="16" x14ac:dyDescent="0.2">
      <c r="A74" s="2">
        <v>72</v>
      </c>
      <c r="B74" s="2" t="s">
        <v>104</v>
      </c>
      <c r="C74" s="2" t="s">
        <v>56</v>
      </c>
      <c r="D74" s="3" t="s">
        <v>60</v>
      </c>
      <c r="E74" s="3" t="s">
        <v>57</v>
      </c>
      <c r="F74" s="6">
        <v>0</v>
      </c>
      <c r="G74" s="6">
        <v>3</v>
      </c>
      <c r="H74" s="51" t="str">
        <f t="shared" si="14"/>
        <v>Argentina</v>
      </c>
      <c r="I74" s="52" t="str">
        <f t="shared" si="15"/>
        <v>Jordan</v>
      </c>
      <c r="J74" s="6"/>
      <c r="K74" s="6"/>
      <c r="L74" s="51" t="str">
        <f t="shared" si="16"/>
        <v/>
      </c>
      <c r="M74" s="52" t="str">
        <f t="shared" si="17"/>
        <v/>
      </c>
      <c r="N74" s="2" t="str">
        <f t="shared" si="18"/>
        <v/>
      </c>
      <c r="O74" s="2" t="str">
        <f t="shared" si="19"/>
        <v/>
      </c>
      <c r="P74" s="2" t="str">
        <f t="shared" si="20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5"/>
  <sheetViews>
    <sheetView zoomScaleNormal="100" workbookViewId="0"/>
  </sheetViews>
  <sheetFormatPr baseColWidth="10" defaultColWidth="8.6640625" defaultRowHeight="15" x14ac:dyDescent="0.2"/>
  <sheetData>
    <row r="1" spans="1:17" x14ac:dyDescent="0.2">
      <c r="A1" s="1" t="s">
        <v>74</v>
      </c>
      <c r="B1" s="1" t="s">
        <v>2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</row>
    <row r="2" spans="1:17" x14ac:dyDescent="0.2">
      <c r="A2" s="2" t="s">
        <v>4</v>
      </c>
      <c r="B2" s="2" t="str">
        <f>'Group Matches'!D3</f>
        <v>Mexico</v>
      </c>
      <c r="C2" s="2" t="str">
        <f>'Group Matches'!E3</f>
        <v>South Africa</v>
      </c>
      <c r="D2" s="2">
        <f>IF(ISNUMBER('Group Matches'!F3),'Group Matches'!F3,0)</f>
        <v>1</v>
      </c>
      <c r="E2" s="2">
        <f>IF(ISNUMBER('Group Matches'!G3),'Group Matches'!G3,0)</f>
        <v>0</v>
      </c>
      <c r="F2" s="2">
        <f>IF(AND(ISNUMBER('Group Matches'!F3),ISNUMBER('Group Matches'!G3)),1,0)</f>
        <v>1</v>
      </c>
      <c r="G2" s="2">
        <f t="shared" ref="G2:G33" si="0">IF(AND(F2=1,D2&gt;E2),1,0)</f>
        <v>1</v>
      </c>
      <c r="H2" s="2">
        <f t="shared" ref="H2:H33" si="1">IF(AND(F2=1,D2=E2),1,0)</f>
        <v>0</v>
      </c>
      <c r="I2" s="2">
        <f t="shared" ref="I2:I33" si="2">IF(AND(F2=1,D2&lt;E2),1,0)</f>
        <v>0</v>
      </c>
      <c r="J2" s="2">
        <f t="shared" ref="J2:J33" si="3">3*G2+H2</f>
        <v>3</v>
      </c>
      <c r="K2" s="2">
        <f>IF(ISNUMBER('Group Matches'!J3),'Group Matches'!J3,0)</f>
        <v>2</v>
      </c>
      <c r="L2" s="2">
        <f>IF(ISNUMBER('Group Matches'!K3),'Group Matches'!K3,0)</f>
        <v>0</v>
      </c>
      <c r="M2" s="2">
        <f>IF(AND(ISNUMBER('Group Matches'!J3),ISNUMBER('Group Matches'!K3)),1,0)</f>
        <v>1</v>
      </c>
      <c r="N2" s="2">
        <f t="shared" ref="N2:N33" si="4">IF(AND(M2=1,K2&gt;L2),1,0)</f>
        <v>1</v>
      </c>
      <c r="O2" s="2">
        <f t="shared" ref="O2:O33" si="5">IF(AND(M2=1,K2=L2),1,0)</f>
        <v>0</v>
      </c>
      <c r="P2" s="2">
        <f t="shared" ref="P2:P33" si="6">IF(AND(M2=1,K2&lt;L2),1,0)</f>
        <v>0</v>
      </c>
      <c r="Q2" s="2">
        <f t="shared" ref="Q2:Q33" si="7">3*N2+O2</f>
        <v>3</v>
      </c>
    </row>
    <row r="3" spans="1:17" x14ac:dyDescent="0.2">
      <c r="A3" s="2" t="s">
        <v>4</v>
      </c>
      <c r="B3" s="2" t="str">
        <f>'Group Matches'!E3</f>
        <v>South Africa</v>
      </c>
      <c r="C3" s="2" t="str">
        <f>'Group Matches'!D3</f>
        <v>Mexico</v>
      </c>
      <c r="D3" s="2">
        <f>IF(ISNUMBER('Group Matches'!G3),'Group Matches'!G3,0)</f>
        <v>0</v>
      </c>
      <c r="E3" s="2">
        <f>IF(ISNUMBER('Group Matches'!F3),'Group Matches'!F3,0)</f>
        <v>1</v>
      </c>
      <c r="F3" s="2">
        <f>IF(AND(ISNUMBER('Group Matches'!G3),ISNUMBER('Group Matches'!F3)),1,0)</f>
        <v>1</v>
      </c>
      <c r="G3" s="2">
        <f t="shared" si="0"/>
        <v>0</v>
      </c>
      <c r="H3" s="2">
        <f t="shared" si="1"/>
        <v>0</v>
      </c>
      <c r="I3" s="2">
        <f t="shared" si="2"/>
        <v>1</v>
      </c>
      <c r="J3" s="2">
        <f t="shared" si="3"/>
        <v>0</v>
      </c>
      <c r="K3" s="2">
        <f>IF(ISNUMBER('Group Matches'!K3),'Group Matches'!K3,0)</f>
        <v>0</v>
      </c>
      <c r="L3" s="2">
        <f>IF(ISNUMBER('Group Matches'!J3),'Group Matches'!J3,0)</f>
        <v>2</v>
      </c>
      <c r="M3" s="2">
        <f>IF(AND(ISNUMBER('Group Matches'!K3),ISNUMBER('Group Matches'!J3)),1,0)</f>
        <v>1</v>
      </c>
      <c r="N3" s="2">
        <f t="shared" si="4"/>
        <v>0</v>
      </c>
      <c r="O3" s="2">
        <f t="shared" si="5"/>
        <v>0</v>
      </c>
      <c r="P3" s="2">
        <f t="shared" si="6"/>
        <v>1</v>
      </c>
      <c r="Q3" s="2">
        <f t="shared" si="7"/>
        <v>0</v>
      </c>
    </row>
    <row r="4" spans="1:17" x14ac:dyDescent="0.2">
      <c r="A4" s="2" t="s">
        <v>4</v>
      </c>
      <c r="B4" s="2" t="str">
        <f>'Group Matches'!D4</f>
        <v>South Korea</v>
      </c>
      <c r="C4" s="2" t="str">
        <f>'Group Matches'!E4</f>
        <v>Czechia</v>
      </c>
      <c r="D4" s="2">
        <f>IF(ISNUMBER('Group Matches'!F4),'Group Matches'!F4,0)</f>
        <v>1</v>
      </c>
      <c r="E4" s="2">
        <f>IF(ISNUMBER('Group Matches'!G4),'Group Matches'!G4,0)</f>
        <v>0</v>
      </c>
      <c r="F4" s="2">
        <f>IF(AND(ISNUMBER('Group Matches'!F4),ISNUMBER('Group Matches'!G4)),1,0)</f>
        <v>1</v>
      </c>
      <c r="G4" s="2">
        <f t="shared" si="0"/>
        <v>1</v>
      </c>
      <c r="H4" s="2">
        <f t="shared" si="1"/>
        <v>0</v>
      </c>
      <c r="I4" s="2">
        <f t="shared" si="2"/>
        <v>0</v>
      </c>
      <c r="J4" s="2">
        <f t="shared" si="3"/>
        <v>3</v>
      </c>
      <c r="K4" s="2">
        <f>IF(ISNUMBER('Group Matches'!J4),'Group Matches'!J4,0)</f>
        <v>2</v>
      </c>
      <c r="L4" s="2">
        <f>IF(ISNUMBER('Group Matches'!K4),'Group Matches'!K4,0)</f>
        <v>1</v>
      </c>
      <c r="M4" s="2">
        <f>IF(AND(ISNUMBER('Group Matches'!J4),ISNUMBER('Group Matches'!K4)),1,0)</f>
        <v>1</v>
      </c>
      <c r="N4" s="2">
        <f t="shared" si="4"/>
        <v>1</v>
      </c>
      <c r="O4" s="2">
        <f t="shared" si="5"/>
        <v>0</v>
      </c>
      <c r="P4" s="2">
        <f t="shared" si="6"/>
        <v>0</v>
      </c>
      <c r="Q4" s="2">
        <f t="shared" si="7"/>
        <v>3</v>
      </c>
    </row>
    <row r="5" spans="1:17" x14ac:dyDescent="0.2">
      <c r="A5" s="2" t="s">
        <v>4</v>
      </c>
      <c r="B5" s="2" t="str">
        <f>'Group Matches'!E4</f>
        <v>Czechia</v>
      </c>
      <c r="C5" s="2" t="str">
        <f>'Group Matches'!D4</f>
        <v>South Korea</v>
      </c>
      <c r="D5" s="2">
        <f>IF(ISNUMBER('Group Matches'!G4),'Group Matches'!G4,0)</f>
        <v>0</v>
      </c>
      <c r="E5" s="2">
        <f>IF(ISNUMBER('Group Matches'!F4),'Group Matches'!F4,0)</f>
        <v>1</v>
      </c>
      <c r="F5" s="2">
        <f>IF(AND(ISNUMBER('Group Matches'!G4),ISNUMBER('Group Matches'!F4)),1,0)</f>
        <v>1</v>
      </c>
      <c r="G5" s="2">
        <f t="shared" si="0"/>
        <v>0</v>
      </c>
      <c r="H5" s="2">
        <f t="shared" si="1"/>
        <v>0</v>
      </c>
      <c r="I5" s="2">
        <f t="shared" si="2"/>
        <v>1</v>
      </c>
      <c r="J5" s="2">
        <f t="shared" si="3"/>
        <v>0</v>
      </c>
      <c r="K5" s="2">
        <f>IF(ISNUMBER('Group Matches'!K4),'Group Matches'!K4,0)</f>
        <v>1</v>
      </c>
      <c r="L5" s="2">
        <f>IF(ISNUMBER('Group Matches'!J4),'Group Matches'!J4,0)</f>
        <v>2</v>
      </c>
      <c r="M5" s="2">
        <f>IF(AND(ISNUMBER('Group Matches'!K4),ISNUMBER('Group Matches'!J4)),1,0)</f>
        <v>1</v>
      </c>
      <c r="N5" s="2">
        <f t="shared" si="4"/>
        <v>0</v>
      </c>
      <c r="O5" s="2">
        <f t="shared" si="5"/>
        <v>0</v>
      </c>
      <c r="P5" s="2">
        <f t="shared" si="6"/>
        <v>1</v>
      </c>
      <c r="Q5" s="2">
        <f t="shared" si="7"/>
        <v>0</v>
      </c>
    </row>
    <row r="6" spans="1:17" x14ac:dyDescent="0.2">
      <c r="A6" s="2" t="s">
        <v>13</v>
      </c>
      <c r="B6" s="2" t="str">
        <f>'Group Matches'!D5</f>
        <v>Canada</v>
      </c>
      <c r="C6" s="2" t="str">
        <f>'Group Matches'!E5</f>
        <v>Bosnia &amp; Herzegovina</v>
      </c>
      <c r="D6" s="2">
        <f>IF(ISNUMBER('Group Matches'!F5),'Group Matches'!F5,0)</f>
        <v>0</v>
      </c>
      <c r="E6" s="2">
        <f>IF(ISNUMBER('Group Matches'!G5),'Group Matches'!G5,0)</f>
        <v>1</v>
      </c>
      <c r="F6" s="2">
        <f>IF(AND(ISNUMBER('Group Matches'!F5),ISNUMBER('Group Matches'!G5)),1,0)</f>
        <v>1</v>
      </c>
      <c r="G6" s="2">
        <f t="shared" si="0"/>
        <v>0</v>
      </c>
      <c r="H6" s="2">
        <f t="shared" si="1"/>
        <v>0</v>
      </c>
      <c r="I6" s="2">
        <f t="shared" si="2"/>
        <v>1</v>
      </c>
      <c r="J6" s="2">
        <f t="shared" si="3"/>
        <v>0</v>
      </c>
      <c r="K6" s="2">
        <f>IF(ISNUMBER('Group Matches'!J5),'Group Matches'!J5,0)</f>
        <v>1</v>
      </c>
      <c r="L6" s="2">
        <f>IF(ISNUMBER('Group Matches'!K5),'Group Matches'!K5,0)</f>
        <v>1</v>
      </c>
      <c r="M6" s="2">
        <f>IF(AND(ISNUMBER('Group Matches'!J5),ISNUMBER('Group Matches'!K5)),1,0)</f>
        <v>1</v>
      </c>
      <c r="N6" s="2">
        <f t="shared" si="4"/>
        <v>0</v>
      </c>
      <c r="O6" s="2">
        <f t="shared" si="5"/>
        <v>1</v>
      </c>
      <c r="P6" s="2">
        <f t="shared" si="6"/>
        <v>0</v>
      </c>
      <c r="Q6" s="2">
        <f t="shared" si="7"/>
        <v>1</v>
      </c>
    </row>
    <row r="7" spans="1:17" x14ac:dyDescent="0.2">
      <c r="A7" s="2" t="s">
        <v>13</v>
      </c>
      <c r="B7" s="2" t="str">
        <f>'Group Matches'!E5</f>
        <v>Bosnia &amp; Herzegovina</v>
      </c>
      <c r="C7" s="2" t="str">
        <f>'Group Matches'!D5</f>
        <v>Canada</v>
      </c>
      <c r="D7" s="2">
        <f>IF(ISNUMBER('Group Matches'!G5),'Group Matches'!G5,0)</f>
        <v>1</v>
      </c>
      <c r="E7" s="2">
        <f>IF(ISNUMBER('Group Matches'!F5),'Group Matches'!F5,0)</f>
        <v>0</v>
      </c>
      <c r="F7" s="2">
        <f>IF(AND(ISNUMBER('Group Matches'!G5),ISNUMBER('Group Matches'!F5)),1,0)</f>
        <v>1</v>
      </c>
      <c r="G7" s="2">
        <f t="shared" si="0"/>
        <v>1</v>
      </c>
      <c r="H7" s="2">
        <f t="shared" si="1"/>
        <v>0</v>
      </c>
      <c r="I7" s="2">
        <f t="shared" si="2"/>
        <v>0</v>
      </c>
      <c r="J7" s="2">
        <f t="shared" si="3"/>
        <v>3</v>
      </c>
      <c r="K7" s="2">
        <f>IF(ISNUMBER('Group Matches'!K5),'Group Matches'!K5,0)</f>
        <v>1</v>
      </c>
      <c r="L7" s="2">
        <f>IF(ISNUMBER('Group Matches'!J5),'Group Matches'!J5,0)</f>
        <v>1</v>
      </c>
      <c r="M7" s="2">
        <f>IF(AND(ISNUMBER('Group Matches'!K5),ISNUMBER('Group Matches'!J5)),1,0)</f>
        <v>1</v>
      </c>
      <c r="N7" s="2">
        <f t="shared" si="4"/>
        <v>0</v>
      </c>
      <c r="O7" s="2">
        <f t="shared" si="5"/>
        <v>1</v>
      </c>
      <c r="P7" s="2">
        <f t="shared" si="6"/>
        <v>0</v>
      </c>
      <c r="Q7" s="2">
        <f t="shared" si="7"/>
        <v>1</v>
      </c>
    </row>
    <row r="8" spans="1:17" x14ac:dyDescent="0.2">
      <c r="A8" s="2" t="s">
        <v>25</v>
      </c>
      <c r="B8" s="2" t="str">
        <f>'Group Matches'!D6</f>
        <v>United States</v>
      </c>
      <c r="C8" s="2" t="str">
        <f>'Group Matches'!E6</f>
        <v>Paraguay</v>
      </c>
      <c r="D8" s="2">
        <f>IF(ISNUMBER('Group Matches'!F6),'Group Matches'!F6,0)</f>
        <v>2</v>
      </c>
      <c r="E8" s="2">
        <f>IF(ISNUMBER('Group Matches'!G6),'Group Matches'!G6,0)</f>
        <v>1</v>
      </c>
      <c r="F8" s="2">
        <f>IF(AND(ISNUMBER('Group Matches'!F6),ISNUMBER('Group Matches'!G6)),1,0)</f>
        <v>1</v>
      </c>
      <c r="G8" s="2">
        <f t="shared" si="0"/>
        <v>1</v>
      </c>
      <c r="H8" s="2">
        <f t="shared" si="1"/>
        <v>0</v>
      </c>
      <c r="I8" s="2">
        <f t="shared" si="2"/>
        <v>0</v>
      </c>
      <c r="J8" s="2">
        <f t="shared" si="3"/>
        <v>3</v>
      </c>
      <c r="K8" s="2">
        <f>IF(ISNUMBER('Group Matches'!J6),'Group Matches'!J6,0)</f>
        <v>4</v>
      </c>
      <c r="L8" s="2">
        <f>IF(ISNUMBER('Group Matches'!K6),'Group Matches'!K6,0)</f>
        <v>1</v>
      </c>
      <c r="M8" s="2">
        <f>IF(AND(ISNUMBER('Group Matches'!J6),ISNUMBER('Group Matches'!K6)),1,0)</f>
        <v>1</v>
      </c>
      <c r="N8" s="2">
        <f t="shared" si="4"/>
        <v>1</v>
      </c>
      <c r="O8" s="2">
        <f t="shared" si="5"/>
        <v>0</v>
      </c>
      <c r="P8" s="2">
        <f t="shared" si="6"/>
        <v>0</v>
      </c>
      <c r="Q8" s="2">
        <f t="shared" si="7"/>
        <v>3</v>
      </c>
    </row>
    <row r="9" spans="1:17" x14ac:dyDescent="0.2">
      <c r="A9" s="2" t="s">
        <v>25</v>
      </c>
      <c r="B9" s="2" t="str">
        <f>'Group Matches'!E6</f>
        <v>Paraguay</v>
      </c>
      <c r="C9" s="2" t="str">
        <f>'Group Matches'!D6</f>
        <v>United States</v>
      </c>
      <c r="D9" s="2">
        <f>IF(ISNUMBER('Group Matches'!G6),'Group Matches'!G6,0)</f>
        <v>1</v>
      </c>
      <c r="E9" s="2">
        <f>IF(ISNUMBER('Group Matches'!F6),'Group Matches'!F6,0)</f>
        <v>2</v>
      </c>
      <c r="F9" s="2">
        <f>IF(AND(ISNUMBER('Group Matches'!G6),ISNUMBER('Group Matches'!F6)),1,0)</f>
        <v>1</v>
      </c>
      <c r="G9" s="2">
        <f t="shared" si="0"/>
        <v>0</v>
      </c>
      <c r="H9" s="2">
        <f t="shared" si="1"/>
        <v>0</v>
      </c>
      <c r="I9" s="2">
        <f t="shared" si="2"/>
        <v>1</v>
      </c>
      <c r="J9" s="2">
        <f t="shared" si="3"/>
        <v>0</v>
      </c>
      <c r="K9" s="2">
        <f>IF(ISNUMBER('Group Matches'!K6),'Group Matches'!K6,0)</f>
        <v>1</v>
      </c>
      <c r="L9" s="2">
        <f>IF(ISNUMBER('Group Matches'!J6),'Group Matches'!J6,0)</f>
        <v>4</v>
      </c>
      <c r="M9" s="2">
        <f>IF(AND(ISNUMBER('Group Matches'!K6),ISNUMBER('Group Matches'!J6)),1,0)</f>
        <v>1</v>
      </c>
      <c r="N9" s="2">
        <f t="shared" si="4"/>
        <v>0</v>
      </c>
      <c r="O9" s="2">
        <f t="shared" si="5"/>
        <v>0</v>
      </c>
      <c r="P9" s="2">
        <f t="shared" si="6"/>
        <v>1</v>
      </c>
      <c r="Q9" s="2">
        <f t="shared" si="7"/>
        <v>0</v>
      </c>
    </row>
    <row r="10" spans="1:17" x14ac:dyDescent="0.2">
      <c r="A10" s="2" t="s">
        <v>13</v>
      </c>
      <c r="B10" s="2" t="str">
        <f>'Group Matches'!D7</f>
        <v>Qatar</v>
      </c>
      <c r="C10" s="2" t="str">
        <f>'Group Matches'!E7</f>
        <v>Switzerland</v>
      </c>
      <c r="D10" s="2">
        <f>IF(ISNUMBER('Group Matches'!F7),'Group Matches'!F7,0)</f>
        <v>0</v>
      </c>
      <c r="E10" s="2">
        <f>IF(ISNUMBER('Group Matches'!G7),'Group Matches'!G7,0)</f>
        <v>2</v>
      </c>
      <c r="F10" s="2">
        <f>IF(AND(ISNUMBER('Group Matches'!F7),ISNUMBER('Group Matches'!G7)),1,0)</f>
        <v>1</v>
      </c>
      <c r="G10" s="2">
        <f t="shared" si="0"/>
        <v>0</v>
      </c>
      <c r="H10" s="2">
        <f t="shared" si="1"/>
        <v>0</v>
      </c>
      <c r="I10" s="2">
        <f t="shared" si="2"/>
        <v>1</v>
      </c>
      <c r="J10" s="2">
        <f t="shared" si="3"/>
        <v>0</v>
      </c>
      <c r="K10" s="2">
        <f>IF(ISNUMBER('Group Matches'!J7),'Group Matches'!J7,0)</f>
        <v>1</v>
      </c>
      <c r="L10" s="2">
        <f>IF(ISNUMBER('Group Matches'!K7),'Group Matches'!K7,0)</f>
        <v>1</v>
      </c>
      <c r="M10" s="2">
        <f>IF(AND(ISNUMBER('Group Matches'!J7),ISNUMBER('Group Matches'!K7)),1,0)</f>
        <v>1</v>
      </c>
      <c r="N10" s="2">
        <f t="shared" si="4"/>
        <v>0</v>
      </c>
      <c r="O10" s="2">
        <f t="shared" si="5"/>
        <v>1</v>
      </c>
      <c r="P10" s="2">
        <f t="shared" si="6"/>
        <v>0</v>
      </c>
      <c r="Q10" s="2">
        <f t="shared" si="7"/>
        <v>1</v>
      </c>
    </row>
    <row r="11" spans="1:17" x14ac:dyDescent="0.2">
      <c r="A11" s="2" t="s">
        <v>13</v>
      </c>
      <c r="B11" s="2" t="str">
        <f>'Group Matches'!E7</f>
        <v>Switzerland</v>
      </c>
      <c r="C11" s="2" t="str">
        <f>'Group Matches'!D7</f>
        <v>Qatar</v>
      </c>
      <c r="D11" s="2">
        <f>IF(ISNUMBER('Group Matches'!G7),'Group Matches'!G7,0)</f>
        <v>2</v>
      </c>
      <c r="E11" s="2">
        <f>IF(ISNUMBER('Group Matches'!F7),'Group Matches'!F7,0)</f>
        <v>0</v>
      </c>
      <c r="F11" s="2">
        <f>IF(AND(ISNUMBER('Group Matches'!G7),ISNUMBER('Group Matches'!F7)),1,0)</f>
        <v>1</v>
      </c>
      <c r="G11" s="2">
        <f t="shared" si="0"/>
        <v>1</v>
      </c>
      <c r="H11" s="2">
        <f t="shared" si="1"/>
        <v>0</v>
      </c>
      <c r="I11" s="2">
        <f t="shared" si="2"/>
        <v>0</v>
      </c>
      <c r="J11" s="2">
        <f t="shared" si="3"/>
        <v>3</v>
      </c>
      <c r="K11" s="2">
        <f>IF(ISNUMBER('Group Matches'!K7),'Group Matches'!K7,0)</f>
        <v>1</v>
      </c>
      <c r="L11" s="2">
        <f>IF(ISNUMBER('Group Matches'!J7),'Group Matches'!J7,0)</f>
        <v>1</v>
      </c>
      <c r="M11" s="2">
        <f>IF(AND(ISNUMBER('Group Matches'!K7),ISNUMBER('Group Matches'!J7)),1,0)</f>
        <v>1</v>
      </c>
      <c r="N11" s="2">
        <f t="shared" si="4"/>
        <v>0</v>
      </c>
      <c r="O11" s="2">
        <f t="shared" si="5"/>
        <v>1</v>
      </c>
      <c r="P11" s="2">
        <f t="shared" si="6"/>
        <v>0</v>
      </c>
      <c r="Q11" s="2">
        <f t="shared" si="7"/>
        <v>1</v>
      </c>
    </row>
    <row r="12" spans="1:17" x14ac:dyDescent="0.2">
      <c r="A12" s="2" t="s">
        <v>18</v>
      </c>
      <c r="B12" s="2" t="str">
        <f>'Group Matches'!D8</f>
        <v>Brazil</v>
      </c>
      <c r="C12" s="2" t="str">
        <f>'Group Matches'!E8</f>
        <v>Morocco</v>
      </c>
      <c r="D12" s="2">
        <f>IF(ISNUMBER('Group Matches'!F8),'Group Matches'!F8,0)</f>
        <v>2</v>
      </c>
      <c r="E12" s="2">
        <f>IF(ISNUMBER('Group Matches'!G8),'Group Matches'!G8,0)</f>
        <v>1</v>
      </c>
      <c r="F12" s="2">
        <f>IF(AND(ISNUMBER('Group Matches'!F8),ISNUMBER('Group Matches'!G8)),1,0)</f>
        <v>1</v>
      </c>
      <c r="G12" s="2">
        <f t="shared" si="0"/>
        <v>1</v>
      </c>
      <c r="H12" s="2">
        <f t="shared" si="1"/>
        <v>0</v>
      </c>
      <c r="I12" s="2">
        <f t="shared" si="2"/>
        <v>0</v>
      </c>
      <c r="J12" s="2">
        <f t="shared" si="3"/>
        <v>3</v>
      </c>
      <c r="K12" s="2">
        <f>IF(ISNUMBER('Group Matches'!J8),'Group Matches'!J8,0)</f>
        <v>1</v>
      </c>
      <c r="L12" s="2">
        <f>IF(ISNUMBER('Group Matches'!K8),'Group Matches'!K8,0)</f>
        <v>1</v>
      </c>
      <c r="M12" s="2">
        <f>IF(AND(ISNUMBER('Group Matches'!J8),ISNUMBER('Group Matches'!K8)),1,0)</f>
        <v>1</v>
      </c>
      <c r="N12" s="2">
        <f t="shared" si="4"/>
        <v>0</v>
      </c>
      <c r="O12" s="2">
        <f t="shared" si="5"/>
        <v>1</v>
      </c>
      <c r="P12" s="2">
        <f t="shared" si="6"/>
        <v>0</v>
      </c>
      <c r="Q12" s="2">
        <f t="shared" si="7"/>
        <v>1</v>
      </c>
    </row>
    <row r="13" spans="1:17" x14ac:dyDescent="0.2">
      <c r="A13" s="2" t="s">
        <v>18</v>
      </c>
      <c r="B13" s="2" t="str">
        <f>'Group Matches'!E8</f>
        <v>Morocco</v>
      </c>
      <c r="C13" s="2" t="str">
        <f>'Group Matches'!D8</f>
        <v>Brazil</v>
      </c>
      <c r="D13" s="2">
        <f>IF(ISNUMBER('Group Matches'!G8),'Group Matches'!G8,0)</f>
        <v>1</v>
      </c>
      <c r="E13" s="2">
        <f>IF(ISNUMBER('Group Matches'!F8),'Group Matches'!F8,0)</f>
        <v>2</v>
      </c>
      <c r="F13" s="2">
        <f>IF(AND(ISNUMBER('Group Matches'!G8),ISNUMBER('Group Matches'!F8)),1,0)</f>
        <v>1</v>
      </c>
      <c r="G13" s="2">
        <f t="shared" si="0"/>
        <v>0</v>
      </c>
      <c r="H13" s="2">
        <f t="shared" si="1"/>
        <v>0</v>
      </c>
      <c r="I13" s="2">
        <f t="shared" si="2"/>
        <v>1</v>
      </c>
      <c r="J13" s="2">
        <f t="shared" si="3"/>
        <v>0</v>
      </c>
      <c r="K13" s="2">
        <f>IF(ISNUMBER('Group Matches'!K8),'Group Matches'!K8,0)</f>
        <v>1</v>
      </c>
      <c r="L13" s="2">
        <f>IF(ISNUMBER('Group Matches'!J8),'Group Matches'!J8,0)</f>
        <v>1</v>
      </c>
      <c r="M13" s="2">
        <f>IF(AND(ISNUMBER('Group Matches'!K8),ISNUMBER('Group Matches'!J8)),1,0)</f>
        <v>1</v>
      </c>
      <c r="N13" s="2">
        <f t="shared" si="4"/>
        <v>0</v>
      </c>
      <c r="O13" s="2">
        <f t="shared" si="5"/>
        <v>1</v>
      </c>
      <c r="P13" s="2">
        <f t="shared" si="6"/>
        <v>0</v>
      </c>
      <c r="Q13" s="2">
        <f t="shared" si="7"/>
        <v>1</v>
      </c>
    </row>
    <row r="14" spans="1:17" x14ac:dyDescent="0.2">
      <c r="A14" s="2" t="s">
        <v>18</v>
      </c>
      <c r="B14" s="2" t="str">
        <f>'Group Matches'!D9</f>
        <v>Haiti</v>
      </c>
      <c r="C14" s="2" t="str">
        <f>'Group Matches'!E9</f>
        <v>Scotland</v>
      </c>
      <c r="D14" s="2">
        <f>IF(ISNUMBER('Group Matches'!F9),'Group Matches'!F9,0)</f>
        <v>0</v>
      </c>
      <c r="E14" s="2">
        <f>IF(ISNUMBER('Group Matches'!G9),'Group Matches'!G9,0)</f>
        <v>2</v>
      </c>
      <c r="F14" s="2">
        <f>IF(AND(ISNUMBER('Group Matches'!F9),ISNUMBER('Group Matches'!G9)),1,0)</f>
        <v>1</v>
      </c>
      <c r="G14" s="2">
        <f t="shared" si="0"/>
        <v>0</v>
      </c>
      <c r="H14" s="2">
        <f t="shared" si="1"/>
        <v>0</v>
      </c>
      <c r="I14" s="2">
        <f t="shared" si="2"/>
        <v>1</v>
      </c>
      <c r="J14" s="2">
        <f t="shared" si="3"/>
        <v>0</v>
      </c>
      <c r="K14" s="2">
        <f>IF(ISNUMBER('Group Matches'!J9),'Group Matches'!J9,0)</f>
        <v>0</v>
      </c>
      <c r="L14" s="2">
        <f>IF(ISNUMBER('Group Matches'!K9),'Group Matches'!K9,0)</f>
        <v>1</v>
      </c>
      <c r="M14" s="2">
        <f>IF(AND(ISNUMBER('Group Matches'!J9),ISNUMBER('Group Matches'!K9)),1,0)</f>
        <v>1</v>
      </c>
      <c r="N14" s="2">
        <f t="shared" si="4"/>
        <v>0</v>
      </c>
      <c r="O14" s="2">
        <f t="shared" si="5"/>
        <v>0</v>
      </c>
      <c r="P14" s="2">
        <f t="shared" si="6"/>
        <v>1</v>
      </c>
      <c r="Q14" s="2">
        <f t="shared" si="7"/>
        <v>0</v>
      </c>
    </row>
    <row r="15" spans="1:17" x14ac:dyDescent="0.2">
      <c r="A15" s="2" t="s">
        <v>18</v>
      </c>
      <c r="B15" s="2" t="str">
        <f>'Group Matches'!E9</f>
        <v>Scotland</v>
      </c>
      <c r="C15" s="2" t="str">
        <f>'Group Matches'!D9</f>
        <v>Haiti</v>
      </c>
      <c r="D15" s="2">
        <f>IF(ISNUMBER('Group Matches'!G9),'Group Matches'!G9,0)</f>
        <v>2</v>
      </c>
      <c r="E15" s="2">
        <f>IF(ISNUMBER('Group Matches'!F9),'Group Matches'!F9,0)</f>
        <v>0</v>
      </c>
      <c r="F15" s="2">
        <f>IF(AND(ISNUMBER('Group Matches'!G9),ISNUMBER('Group Matches'!F9)),1,0)</f>
        <v>1</v>
      </c>
      <c r="G15" s="2">
        <f t="shared" si="0"/>
        <v>1</v>
      </c>
      <c r="H15" s="2">
        <f t="shared" si="1"/>
        <v>0</v>
      </c>
      <c r="I15" s="2">
        <f t="shared" si="2"/>
        <v>0</v>
      </c>
      <c r="J15" s="2">
        <f t="shared" si="3"/>
        <v>3</v>
      </c>
      <c r="K15" s="2">
        <f>IF(ISNUMBER('Group Matches'!K9),'Group Matches'!K9,0)</f>
        <v>1</v>
      </c>
      <c r="L15" s="2">
        <f>IF(ISNUMBER('Group Matches'!J9),'Group Matches'!J9,0)</f>
        <v>0</v>
      </c>
      <c r="M15" s="2">
        <f>IF(AND(ISNUMBER('Group Matches'!K9),ISNUMBER('Group Matches'!J9)),1,0)</f>
        <v>1</v>
      </c>
      <c r="N15" s="2">
        <f t="shared" si="4"/>
        <v>1</v>
      </c>
      <c r="O15" s="2">
        <f t="shared" si="5"/>
        <v>0</v>
      </c>
      <c r="P15" s="2">
        <f t="shared" si="6"/>
        <v>0</v>
      </c>
      <c r="Q15" s="2">
        <f t="shared" si="7"/>
        <v>3</v>
      </c>
    </row>
    <row r="16" spans="1:17" x14ac:dyDescent="0.2">
      <c r="A16" s="2" t="s">
        <v>25</v>
      </c>
      <c r="B16" s="2" t="str">
        <f>'Group Matches'!D10</f>
        <v>Australia</v>
      </c>
      <c r="C16" s="2" t="str">
        <f>'Group Matches'!E10</f>
        <v>Türkiye</v>
      </c>
      <c r="D16" s="2">
        <f>IF(ISNUMBER('Group Matches'!F10),'Group Matches'!F10,0)</f>
        <v>0</v>
      </c>
      <c r="E16" s="2">
        <f>IF(ISNUMBER('Group Matches'!G10),'Group Matches'!G10,0)</f>
        <v>3</v>
      </c>
      <c r="F16" s="2">
        <f>IF(AND(ISNUMBER('Group Matches'!F10),ISNUMBER('Group Matches'!G10)),1,0)</f>
        <v>1</v>
      </c>
      <c r="G16" s="2">
        <f t="shared" si="0"/>
        <v>0</v>
      </c>
      <c r="H16" s="2">
        <f t="shared" si="1"/>
        <v>0</v>
      </c>
      <c r="I16" s="2">
        <f t="shared" si="2"/>
        <v>1</v>
      </c>
      <c r="J16" s="2">
        <f t="shared" si="3"/>
        <v>0</v>
      </c>
      <c r="K16" s="2">
        <f>IF(ISNUMBER('Group Matches'!J10),'Group Matches'!J10,0)</f>
        <v>2</v>
      </c>
      <c r="L16" s="2">
        <f>IF(ISNUMBER('Group Matches'!K10),'Group Matches'!K10,0)</f>
        <v>0</v>
      </c>
      <c r="M16" s="2">
        <f>IF(AND(ISNUMBER('Group Matches'!J10),ISNUMBER('Group Matches'!K10)),1,0)</f>
        <v>1</v>
      </c>
      <c r="N16" s="2">
        <f t="shared" si="4"/>
        <v>1</v>
      </c>
      <c r="O16" s="2">
        <f t="shared" si="5"/>
        <v>0</v>
      </c>
      <c r="P16" s="2">
        <f t="shared" si="6"/>
        <v>0</v>
      </c>
      <c r="Q16" s="2">
        <f t="shared" si="7"/>
        <v>3</v>
      </c>
    </row>
    <row r="17" spans="1:17" x14ac:dyDescent="0.2">
      <c r="A17" s="2" t="s">
        <v>25</v>
      </c>
      <c r="B17" s="2" t="str">
        <f>'Group Matches'!E10</f>
        <v>Türkiye</v>
      </c>
      <c r="C17" s="2" t="str">
        <f>'Group Matches'!D10</f>
        <v>Australia</v>
      </c>
      <c r="D17" s="2">
        <f>IF(ISNUMBER('Group Matches'!G10),'Group Matches'!G10,0)</f>
        <v>3</v>
      </c>
      <c r="E17" s="2">
        <f>IF(ISNUMBER('Group Matches'!F10),'Group Matches'!F10,0)</f>
        <v>0</v>
      </c>
      <c r="F17" s="2">
        <f>IF(AND(ISNUMBER('Group Matches'!G10),ISNUMBER('Group Matches'!F10)),1,0)</f>
        <v>1</v>
      </c>
      <c r="G17" s="2">
        <f t="shared" si="0"/>
        <v>1</v>
      </c>
      <c r="H17" s="2">
        <f t="shared" si="1"/>
        <v>0</v>
      </c>
      <c r="I17" s="2">
        <f t="shared" si="2"/>
        <v>0</v>
      </c>
      <c r="J17" s="2">
        <f t="shared" si="3"/>
        <v>3</v>
      </c>
      <c r="K17" s="2">
        <f>IF(ISNUMBER('Group Matches'!K10),'Group Matches'!K10,0)</f>
        <v>0</v>
      </c>
      <c r="L17" s="2">
        <f>IF(ISNUMBER('Group Matches'!J10),'Group Matches'!J10,0)</f>
        <v>2</v>
      </c>
      <c r="M17" s="2">
        <f>IF(AND(ISNUMBER('Group Matches'!K10),ISNUMBER('Group Matches'!J10)),1,0)</f>
        <v>1</v>
      </c>
      <c r="N17" s="2">
        <f t="shared" si="4"/>
        <v>0</v>
      </c>
      <c r="O17" s="2">
        <f t="shared" si="5"/>
        <v>0</v>
      </c>
      <c r="P17" s="2">
        <f t="shared" si="6"/>
        <v>1</v>
      </c>
      <c r="Q17" s="2">
        <f t="shared" si="7"/>
        <v>0</v>
      </c>
    </row>
    <row r="18" spans="1:17" x14ac:dyDescent="0.2">
      <c r="A18" s="2" t="s">
        <v>30</v>
      </c>
      <c r="B18" s="2" t="str">
        <f>'Group Matches'!D11</f>
        <v>Germany</v>
      </c>
      <c r="C18" s="2" t="str">
        <f>'Group Matches'!E11</f>
        <v>Curaçao</v>
      </c>
      <c r="D18" s="2">
        <f>IF(ISNUMBER('Group Matches'!F11),'Group Matches'!F11,0)</f>
        <v>2</v>
      </c>
      <c r="E18" s="2">
        <f>IF(ISNUMBER('Group Matches'!G11),'Group Matches'!G11,0)</f>
        <v>0</v>
      </c>
      <c r="F18" s="2">
        <f>IF(AND(ISNUMBER('Group Matches'!F11),ISNUMBER('Group Matches'!G11)),1,0)</f>
        <v>1</v>
      </c>
      <c r="G18" s="2">
        <f t="shared" si="0"/>
        <v>1</v>
      </c>
      <c r="H18" s="2">
        <f t="shared" si="1"/>
        <v>0</v>
      </c>
      <c r="I18" s="2">
        <f t="shared" si="2"/>
        <v>0</v>
      </c>
      <c r="J18" s="2">
        <f t="shared" si="3"/>
        <v>3</v>
      </c>
      <c r="K18" s="2">
        <f>IF(ISNUMBER('Group Matches'!J11),'Group Matches'!J11,0)</f>
        <v>7</v>
      </c>
      <c r="L18" s="2">
        <f>IF(ISNUMBER('Group Matches'!K11),'Group Matches'!K11,0)</f>
        <v>1</v>
      </c>
      <c r="M18" s="2">
        <f>IF(AND(ISNUMBER('Group Matches'!J11),ISNUMBER('Group Matches'!K11)),1,0)</f>
        <v>1</v>
      </c>
      <c r="N18" s="2">
        <f t="shared" si="4"/>
        <v>1</v>
      </c>
      <c r="O18" s="2">
        <f t="shared" si="5"/>
        <v>0</v>
      </c>
      <c r="P18" s="2">
        <f t="shared" si="6"/>
        <v>0</v>
      </c>
      <c r="Q18" s="2">
        <f t="shared" si="7"/>
        <v>3</v>
      </c>
    </row>
    <row r="19" spans="1:17" x14ac:dyDescent="0.2">
      <c r="A19" s="2" t="s">
        <v>30</v>
      </c>
      <c r="B19" s="2" t="str">
        <f>'Group Matches'!E11</f>
        <v>Curaçao</v>
      </c>
      <c r="C19" s="2" t="str">
        <f>'Group Matches'!D11</f>
        <v>Germany</v>
      </c>
      <c r="D19" s="2">
        <f>IF(ISNUMBER('Group Matches'!G11),'Group Matches'!G11,0)</f>
        <v>0</v>
      </c>
      <c r="E19" s="2">
        <f>IF(ISNUMBER('Group Matches'!F11),'Group Matches'!F11,0)</f>
        <v>2</v>
      </c>
      <c r="F19" s="2">
        <f>IF(AND(ISNUMBER('Group Matches'!G11),ISNUMBER('Group Matches'!F11)),1,0)</f>
        <v>1</v>
      </c>
      <c r="G19" s="2">
        <f t="shared" si="0"/>
        <v>0</v>
      </c>
      <c r="H19" s="2">
        <f t="shared" si="1"/>
        <v>0</v>
      </c>
      <c r="I19" s="2">
        <f t="shared" si="2"/>
        <v>1</v>
      </c>
      <c r="J19" s="2">
        <f t="shared" si="3"/>
        <v>0</v>
      </c>
      <c r="K19" s="2">
        <f>IF(ISNUMBER('Group Matches'!K11),'Group Matches'!K11,0)</f>
        <v>1</v>
      </c>
      <c r="L19" s="2">
        <f>IF(ISNUMBER('Group Matches'!J11),'Group Matches'!J11,0)</f>
        <v>7</v>
      </c>
      <c r="M19" s="2">
        <f>IF(AND(ISNUMBER('Group Matches'!K11),ISNUMBER('Group Matches'!J11)),1,0)</f>
        <v>1</v>
      </c>
      <c r="N19" s="2">
        <f t="shared" si="4"/>
        <v>0</v>
      </c>
      <c r="O19" s="2">
        <f t="shared" si="5"/>
        <v>0</v>
      </c>
      <c r="P19" s="2">
        <f t="shared" si="6"/>
        <v>1</v>
      </c>
      <c r="Q19" s="2">
        <f t="shared" si="7"/>
        <v>0</v>
      </c>
    </row>
    <row r="20" spans="1:17" x14ac:dyDescent="0.2">
      <c r="A20" s="2" t="s">
        <v>35</v>
      </c>
      <c r="B20" s="2" t="str">
        <f>'Group Matches'!D12</f>
        <v>Netherlands</v>
      </c>
      <c r="C20" s="2" t="str">
        <f>'Group Matches'!E12</f>
        <v>Japan</v>
      </c>
      <c r="D20" s="2">
        <f>IF(ISNUMBER('Group Matches'!F12),'Group Matches'!F12,0)</f>
        <v>1</v>
      </c>
      <c r="E20" s="2">
        <f>IF(ISNUMBER('Group Matches'!G12),'Group Matches'!G12,0)</f>
        <v>0</v>
      </c>
      <c r="F20" s="2">
        <f>IF(AND(ISNUMBER('Group Matches'!F12),ISNUMBER('Group Matches'!G12)),1,0)</f>
        <v>1</v>
      </c>
      <c r="G20" s="2">
        <f t="shared" si="0"/>
        <v>1</v>
      </c>
      <c r="H20" s="2">
        <f t="shared" si="1"/>
        <v>0</v>
      </c>
      <c r="I20" s="2">
        <f t="shared" si="2"/>
        <v>0</v>
      </c>
      <c r="J20" s="2">
        <f t="shared" si="3"/>
        <v>3</v>
      </c>
      <c r="K20" s="2">
        <f>IF(ISNUMBER('Group Matches'!J12),'Group Matches'!J12,0)</f>
        <v>2</v>
      </c>
      <c r="L20" s="2">
        <f>IF(ISNUMBER('Group Matches'!K12),'Group Matches'!K12,0)</f>
        <v>2</v>
      </c>
      <c r="M20" s="2">
        <f>IF(AND(ISNUMBER('Group Matches'!J12),ISNUMBER('Group Matches'!K12)),1,0)</f>
        <v>1</v>
      </c>
      <c r="N20" s="2">
        <f t="shared" si="4"/>
        <v>0</v>
      </c>
      <c r="O20" s="2">
        <f t="shared" si="5"/>
        <v>1</v>
      </c>
      <c r="P20" s="2">
        <f t="shared" si="6"/>
        <v>0</v>
      </c>
      <c r="Q20" s="2">
        <f t="shared" si="7"/>
        <v>1</v>
      </c>
    </row>
    <row r="21" spans="1:17" x14ac:dyDescent="0.2">
      <c r="A21" s="2" t="s">
        <v>35</v>
      </c>
      <c r="B21" s="2" t="str">
        <f>'Group Matches'!E12</f>
        <v>Japan</v>
      </c>
      <c r="C21" s="2" t="str">
        <f>'Group Matches'!D12</f>
        <v>Netherlands</v>
      </c>
      <c r="D21" s="2">
        <f>IF(ISNUMBER('Group Matches'!G12),'Group Matches'!G12,0)</f>
        <v>0</v>
      </c>
      <c r="E21" s="2">
        <f>IF(ISNUMBER('Group Matches'!F12),'Group Matches'!F12,0)</f>
        <v>1</v>
      </c>
      <c r="F21" s="2">
        <f>IF(AND(ISNUMBER('Group Matches'!G12),ISNUMBER('Group Matches'!F12)),1,0)</f>
        <v>1</v>
      </c>
      <c r="G21" s="2">
        <f t="shared" si="0"/>
        <v>0</v>
      </c>
      <c r="H21" s="2">
        <f t="shared" si="1"/>
        <v>0</v>
      </c>
      <c r="I21" s="2">
        <f t="shared" si="2"/>
        <v>1</v>
      </c>
      <c r="J21" s="2">
        <f t="shared" si="3"/>
        <v>0</v>
      </c>
      <c r="K21" s="2">
        <f>IF(ISNUMBER('Group Matches'!K12),'Group Matches'!K12,0)</f>
        <v>2</v>
      </c>
      <c r="L21" s="2">
        <f>IF(ISNUMBER('Group Matches'!J12),'Group Matches'!J12,0)</f>
        <v>2</v>
      </c>
      <c r="M21" s="2">
        <f>IF(AND(ISNUMBER('Group Matches'!K12),ISNUMBER('Group Matches'!J12)),1,0)</f>
        <v>1</v>
      </c>
      <c r="N21" s="2">
        <f t="shared" si="4"/>
        <v>0</v>
      </c>
      <c r="O21" s="2">
        <f t="shared" si="5"/>
        <v>1</v>
      </c>
      <c r="P21" s="2">
        <f t="shared" si="6"/>
        <v>0</v>
      </c>
      <c r="Q21" s="2">
        <f t="shared" si="7"/>
        <v>1</v>
      </c>
    </row>
    <row r="22" spans="1:17" x14ac:dyDescent="0.2">
      <c r="A22" s="2" t="s">
        <v>30</v>
      </c>
      <c r="B22" s="2" t="str">
        <f>'Group Matches'!D13</f>
        <v>Côte d'Ivoire</v>
      </c>
      <c r="C22" s="2" t="str">
        <f>'Group Matches'!E13</f>
        <v>Ecuador</v>
      </c>
      <c r="D22" s="2">
        <f>IF(ISNUMBER('Group Matches'!F13),'Group Matches'!F13,0)</f>
        <v>0</v>
      </c>
      <c r="E22" s="2">
        <f>IF(ISNUMBER('Group Matches'!G13),'Group Matches'!G13,0)</f>
        <v>2</v>
      </c>
      <c r="F22" s="2">
        <f>IF(AND(ISNUMBER('Group Matches'!F13),ISNUMBER('Group Matches'!G13)),1,0)</f>
        <v>1</v>
      </c>
      <c r="G22" s="2">
        <f t="shared" si="0"/>
        <v>0</v>
      </c>
      <c r="H22" s="2">
        <f t="shared" si="1"/>
        <v>0</v>
      </c>
      <c r="I22" s="2">
        <f t="shared" si="2"/>
        <v>1</v>
      </c>
      <c r="J22" s="2">
        <f t="shared" si="3"/>
        <v>0</v>
      </c>
      <c r="K22" s="2">
        <f>IF(ISNUMBER('Group Matches'!J13),'Group Matches'!J13,0)</f>
        <v>1</v>
      </c>
      <c r="L22" s="2">
        <f>IF(ISNUMBER('Group Matches'!K13),'Group Matches'!K13,0)</f>
        <v>0</v>
      </c>
      <c r="M22" s="2">
        <f>IF(AND(ISNUMBER('Group Matches'!J13),ISNUMBER('Group Matches'!K13)),1,0)</f>
        <v>1</v>
      </c>
      <c r="N22" s="2">
        <f t="shared" si="4"/>
        <v>1</v>
      </c>
      <c r="O22" s="2">
        <f t="shared" si="5"/>
        <v>0</v>
      </c>
      <c r="P22" s="2">
        <f t="shared" si="6"/>
        <v>0</v>
      </c>
      <c r="Q22" s="2">
        <f t="shared" si="7"/>
        <v>3</v>
      </c>
    </row>
    <row r="23" spans="1:17" x14ac:dyDescent="0.2">
      <c r="A23" s="2" t="s">
        <v>30</v>
      </c>
      <c r="B23" s="2" t="str">
        <f>'Group Matches'!E13</f>
        <v>Ecuador</v>
      </c>
      <c r="C23" s="2" t="str">
        <f>'Group Matches'!D13</f>
        <v>Côte d'Ivoire</v>
      </c>
      <c r="D23" s="2">
        <f>IF(ISNUMBER('Group Matches'!G13),'Group Matches'!G13,0)</f>
        <v>2</v>
      </c>
      <c r="E23" s="2">
        <f>IF(ISNUMBER('Group Matches'!F13),'Group Matches'!F13,0)</f>
        <v>0</v>
      </c>
      <c r="F23" s="2">
        <f>IF(AND(ISNUMBER('Group Matches'!G13),ISNUMBER('Group Matches'!F13)),1,0)</f>
        <v>1</v>
      </c>
      <c r="G23" s="2">
        <f t="shared" si="0"/>
        <v>1</v>
      </c>
      <c r="H23" s="2">
        <f t="shared" si="1"/>
        <v>0</v>
      </c>
      <c r="I23" s="2">
        <f t="shared" si="2"/>
        <v>0</v>
      </c>
      <c r="J23" s="2">
        <f t="shared" si="3"/>
        <v>3</v>
      </c>
      <c r="K23" s="2">
        <f>IF(ISNUMBER('Group Matches'!K13),'Group Matches'!K13,0)</f>
        <v>0</v>
      </c>
      <c r="L23" s="2">
        <f>IF(ISNUMBER('Group Matches'!J13),'Group Matches'!J13,0)</f>
        <v>1</v>
      </c>
      <c r="M23" s="2">
        <f>IF(AND(ISNUMBER('Group Matches'!K13),ISNUMBER('Group Matches'!J13)),1,0)</f>
        <v>1</v>
      </c>
      <c r="N23" s="2">
        <f t="shared" si="4"/>
        <v>0</v>
      </c>
      <c r="O23" s="2">
        <f t="shared" si="5"/>
        <v>0</v>
      </c>
      <c r="P23" s="2">
        <f t="shared" si="6"/>
        <v>1</v>
      </c>
      <c r="Q23" s="2">
        <f t="shared" si="7"/>
        <v>0</v>
      </c>
    </row>
    <row r="24" spans="1:17" x14ac:dyDescent="0.2">
      <c r="A24" s="2" t="s">
        <v>35</v>
      </c>
      <c r="B24" s="2" t="str">
        <f>'Group Matches'!D14</f>
        <v>Sweden</v>
      </c>
      <c r="C24" s="2" t="str">
        <f>'Group Matches'!E14</f>
        <v>Tunisia</v>
      </c>
      <c r="D24" s="2">
        <f>IF(ISNUMBER('Group Matches'!F14),'Group Matches'!F14,0)</f>
        <v>1</v>
      </c>
      <c r="E24" s="2">
        <f>IF(ISNUMBER('Group Matches'!G14),'Group Matches'!G14,0)</f>
        <v>0</v>
      </c>
      <c r="F24" s="2">
        <f>IF(AND(ISNUMBER('Group Matches'!F14),ISNUMBER('Group Matches'!G14)),1,0)</f>
        <v>1</v>
      </c>
      <c r="G24" s="2">
        <f t="shared" si="0"/>
        <v>1</v>
      </c>
      <c r="H24" s="2">
        <f t="shared" si="1"/>
        <v>0</v>
      </c>
      <c r="I24" s="2">
        <f t="shared" si="2"/>
        <v>0</v>
      </c>
      <c r="J24" s="2">
        <f t="shared" si="3"/>
        <v>3</v>
      </c>
      <c r="K24" s="2">
        <f>IF(ISNUMBER('Group Matches'!J14),'Group Matches'!J14,0)</f>
        <v>5</v>
      </c>
      <c r="L24" s="2">
        <f>IF(ISNUMBER('Group Matches'!K14),'Group Matches'!K14,0)</f>
        <v>1</v>
      </c>
      <c r="M24" s="2">
        <f>IF(AND(ISNUMBER('Group Matches'!J14),ISNUMBER('Group Matches'!K14)),1,0)</f>
        <v>1</v>
      </c>
      <c r="N24" s="2">
        <f t="shared" si="4"/>
        <v>1</v>
      </c>
      <c r="O24" s="2">
        <f t="shared" si="5"/>
        <v>0</v>
      </c>
      <c r="P24" s="2">
        <f t="shared" si="6"/>
        <v>0</v>
      </c>
      <c r="Q24" s="2">
        <f t="shared" si="7"/>
        <v>3</v>
      </c>
    </row>
    <row r="25" spans="1:17" x14ac:dyDescent="0.2">
      <c r="A25" s="2" t="s">
        <v>35</v>
      </c>
      <c r="B25" s="2" t="str">
        <f>'Group Matches'!E14</f>
        <v>Tunisia</v>
      </c>
      <c r="C25" s="2" t="str">
        <f>'Group Matches'!D14</f>
        <v>Sweden</v>
      </c>
      <c r="D25" s="2">
        <f>IF(ISNUMBER('Group Matches'!G14),'Group Matches'!G14,0)</f>
        <v>0</v>
      </c>
      <c r="E25" s="2">
        <f>IF(ISNUMBER('Group Matches'!F14),'Group Matches'!F14,0)</f>
        <v>1</v>
      </c>
      <c r="F25" s="2">
        <f>IF(AND(ISNUMBER('Group Matches'!G14),ISNUMBER('Group Matches'!F14)),1,0)</f>
        <v>1</v>
      </c>
      <c r="G25" s="2">
        <f t="shared" si="0"/>
        <v>0</v>
      </c>
      <c r="H25" s="2">
        <f t="shared" si="1"/>
        <v>0</v>
      </c>
      <c r="I25" s="2">
        <f t="shared" si="2"/>
        <v>1</v>
      </c>
      <c r="J25" s="2">
        <f t="shared" si="3"/>
        <v>0</v>
      </c>
      <c r="K25" s="2">
        <f>IF(ISNUMBER('Group Matches'!K14),'Group Matches'!K14,0)</f>
        <v>1</v>
      </c>
      <c r="L25" s="2">
        <f>IF(ISNUMBER('Group Matches'!J14),'Group Matches'!J14,0)</f>
        <v>5</v>
      </c>
      <c r="M25" s="2">
        <f>IF(AND(ISNUMBER('Group Matches'!K14),ISNUMBER('Group Matches'!J14)),1,0)</f>
        <v>1</v>
      </c>
      <c r="N25" s="2">
        <f t="shared" si="4"/>
        <v>0</v>
      </c>
      <c r="O25" s="2">
        <f t="shared" si="5"/>
        <v>0</v>
      </c>
      <c r="P25" s="2">
        <f t="shared" si="6"/>
        <v>1</v>
      </c>
      <c r="Q25" s="2">
        <f t="shared" si="7"/>
        <v>0</v>
      </c>
    </row>
    <row r="26" spans="1:17" x14ac:dyDescent="0.2">
      <c r="A26" s="2" t="s">
        <v>46</v>
      </c>
      <c r="B26" s="2" t="str">
        <f>'Group Matches'!D15</f>
        <v>Spain</v>
      </c>
      <c r="C26" s="2" t="str">
        <f>'Group Matches'!E15</f>
        <v>Cabo Verde</v>
      </c>
      <c r="D26" s="2">
        <f>IF(ISNUMBER('Group Matches'!F15),'Group Matches'!F15,0)</f>
        <v>3</v>
      </c>
      <c r="E26" s="2">
        <f>IF(ISNUMBER('Group Matches'!G15),'Group Matches'!G15,0)</f>
        <v>0</v>
      </c>
      <c r="F26" s="2">
        <f>IF(AND(ISNUMBER('Group Matches'!F15),ISNUMBER('Group Matches'!G15)),1,0)</f>
        <v>1</v>
      </c>
      <c r="G26" s="2">
        <f t="shared" si="0"/>
        <v>1</v>
      </c>
      <c r="H26" s="2">
        <f t="shared" si="1"/>
        <v>0</v>
      </c>
      <c r="I26" s="2">
        <f t="shared" si="2"/>
        <v>0</v>
      </c>
      <c r="J26" s="2">
        <f t="shared" si="3"/>
        <v>3</v>
      </c>
      <c r="K26" s="2">
        <f>IF(ISNUMBER('Group Matches'!J15),'Group Matches'!J15,0)</f>
        <v>0</v>
      </c>
      <c r="L26" s="2">
        <f>IF(ISNUMBER('Group Matches'!K15),'Group Matches'!K15,0)</f>
        <v>0</v>
      </c>
      <c r="M26" s="2">
        <f>IF(AND(ISNUMBER('Group Matches'!J15),ISNUMBER('Group Matches'!K15)),1,0)</f>
        <v>0</v>
      </c>
      <c r="N26" s="2">
        <f t="shared" si="4"/>
        <v>0</v>
      </c>
      <c r="O26" s="2">
        <f t="shared" si="5"/>
        <v>0</v>
      </c>
      <c r="P26" s="2">
        <f t="shared" si="6"/>
        <v>0</v>
      </c>
      <c r="Q26" s="2">
        <f t="shared" si="7"/>
        <v>0</v>
      </c>
    </row>
    <row r="27" spans="1:17" x14ac:dyDescent="0.2">
      <c r="A27" s="2" t="s">
        <v>46</v>
      </c>
      <c r="B27" s="2" t="str">
        <f>'Group Matches'!E15</f>
        <v>Cabo Verde</v>
      </c>
      <c r="C27" s="2" t="str">
        <f>'Group Matches'!D15</f>
        <v>Spain</v>
      </c>
      <c r="D27" s="2">
        <f>IF(ISNUMBER('Group Matches'!G15),'Group Matches'!G15,0)</f>
        <v>0</v>
      </c>
      <c r="E27" s="2">
        <f>IF(ISNUMBER('Group Matches'!F15),'Group Matches'!F15,0)</f>
        <v>3</v>
      </c>
      <c r="F27" s="2">
        <f>IF(AND(ISNUMBER('Group Matches'!G15),ISNUMBER('Group Matches'!F15)),1,0)</f>
        <v>1</v>
      </c>
      <c r="G27" s="2">
        <f t="shared" si="0"/>
        <v>0</v>
      </c>
      <c r="H27" s="2">
        <f t="shared" si="1"/>
        <v>0</v>
      </c>
      <c r="I27" s="2">
        <f t="shared" si="2"/>
        <v>1</v>
      </c>
      <c r="J27" s="2">
        <f t="shared" si="3"/>
        <v>0</v>
      </c>
      <c r="K27" s="2">
        <f>IF(ISNUMBER('Group Matches'!K15),'Group Matches'!K15,0)</f>
        <v>0</v>
      </c>
      <c r="L27" s="2">
        <f>IF(ISNUMBER('Group Matches'!J15),'Group Matches'!J15,0)</f>
        <v>0</v>
      </c>
      <c r="M27" s="2">
        <f>IF(AND(ISNUMBER('Group Matches'!K15),ISNUMBER('Group Matches'!J15)),1,0)</f>
        <v>0</v>
      </c>
      <c r="N27" s="2">
        <f t="shared" si="4"/>
        <v>0</v>
      </c>
      <c r="O27" s="2">
        <f t="shared" si="5"/>
        <v>0</v>
      </c>
      <c r="P27" s="2">
        <f t="shared" si="6"/>
        <v>0</v>
      </c>
      <c r="Q27" s="2">
        <f t="shared" si="7"/>
        <v>0</v>
      </c>
    </row>
    <row r="28" spans="1:17" x14ac:dyDescent="0.2">
      <c r="A28" s="2" t="s">
        <v>40</v>
      </c>
      <c r="B28" s="2" t="str">
        <f>'Group Matches'!D16</f>
        <v>Belgium</v>
      </c>
      <c r="C28" s="2" t="str">
        <f>'Group Matches'!E16</f>
        <v>Egypt</v>
      </c>
      <c r="D28" s="2">
        <f>IF(ISNUMBER('Group Matches'!F16),'Group Matches'!F16,0)</f>
        <v>1</v>
      </c>
      <c r="E28" s="2">
        <f>IF(ISNUMBER('Group Matches'!G16),'Group Matches'!G16,0)</f>
        <v>1</v>
      </c>
      <c r="F28" s="2">
        <f>IF(AND(ISNUMBER('Group Matches'!F16),ISNUMBER('Group Matches'!G16)),1,0)</f>
        <v>1</v>
      </c>
      <c r="G28" s="2">
        <f t="shared" si="0"/>
        <v>0</v>
      </c>
      <c r="H28" s="2">
        <f t="shared" si="1"/>
        <v>1</v>
      </c>
      <c r="I28" s="2">
        <f t="shared" si="2"/>
        <v>0</v>
      </c>
      <c r="J28" s="2">
        <f t="shared" si="3"/>
        <v>1</v>
      </c>
      <c r="K28" s="2">
        <f>IF(ISNUMBER('Group Matches'!J16),'Group Matches'!J16,0)</f>
        <v>0</v>
      </c>
      <c r="L28" s="2">
        <f>IF(ISNUMBER('Group Matches'!K16),'Group Matches'!K16,0)</f>
        <v>0</v>
      </c>
      <c r="M28" s="2">
        <f>IF(AND(ISNUMBER('Group Matches'!J16),ISNUMBER('Group Matches'!K16)),1,0)</f>
        <v>0</v>
      </c>
      <c r="N28" s="2">
        <f t="shared" si="4"/>
        <v>0</v>
      </c>
      <c r="O28" s="2">
        <f t="shared" si="5"/>
        <v>0</v>
      </c>
      <c r="P28" s="2">
        <f t="shared" si="6"/>
        <v>0</v>
      </c>
      <c r="Q28" s="2">
        <f t="shared" si="7"/>
        <v>0</v>
      </c>
    </row>
    <row r="29" spans="1:17" x14ac:dyDescent="0.2">
      <c r="A29" s="2" t="s">
        <v>40</v>
      </c>
      <c r="B29" s="2" t="str">
        <f>'Group Matches'!E16</f>
        <v>Egypt</v>
      </c>
      <c r="C29" s="2" t="str">
        <f>'Group Matches'!D16</f>
        <v>Belgium</v>
      </c>
      <c r="D29" s="2">
        <f>IF(ISNUMBER('Group Matches'!G16),'Group Matches'!G16,0)</f>
        <v>1</v>
      </c>
      <c r="E29" s="2">
        <f>IF(ISNUMBER('Group Matches'!F16),'Group Matches'!F16,0)</f>
        <v>1</v>
      </c>
      <c r="F29" s="2">
        <f>IF(AND(ISNUMBER('Group Matches'!G16),ISNUMBER('Group Matches'!F16)),1,0)</f>
        <v>1</v>
      </c>
      <c r="G29" s="2">
        <f t="shared" si="0"/>
        <v>0</v>
      </c>
      <c r="H29" s="2">
        <f t="shared" si="1"/>
        <v>1</v>
      </c>
      <c r="I29" s="2">
        <f t="shared" si="2"/>
        <v>0</v>
      </c>
      <c r="J29" s="2">
        <f t="shared" si="3"/>
        <v>1</v>
      </c>
      <c r="K29" s="2">
        <f>IF(ISNUMBER('Group Matches'!K16),'Group Matches'!K16,0)</f>
        <v>0</v>
      </c>
      <c r="L29" s="2">
        <f>IF(ISNUMBER('Group Matches'!J16),'Group Matches'!J16,0)</f>
        <v>0</v>
      </c>
      <c r="M29" s="2">
        <f>IF(AND(ISNUMBER('Group Matches'!K16),ISNUMBER('Group Matches'!J16)),1,0)</f>
        <v>0</v>
      </c>
      <c r="N29" s="2">
        <f t="shared" si="4"/>
        <v>0</v>
      </c>
      <c r="O29" s="2">
        <f t="shared" si="5"/>
        <v>0</v>
      </c>
      <c r="P29" s="2">
        <f t="shared" si="6"/>
        <v>0</v>
      </c>
      <c r="Q29" s="2">
        <f t="shared" si="7"/>
        <v>0</v>
      </c>
    </row>
    <row r="30" spans="1:17" x14ac:dyDescent="0.2">
      <c r="A30" s="2" t="s">
        <v>46</v>
      </c>
      <c r="B30" s="2" t="str">
        <f>'Group Matches'!D17</f>
        <v>Saudi Arabia</v>
      </c>
      <c r="C30" s="2" t="str">
        <f>'Group Matches'!E17</f>
        <v>Uruguay</v>
      </c>
      <c r="D30" s="2">
        <f>IF(ISNUMBER('Group Matches'!F17),'Group Matches'!F17,0)</f>
        <v>0</v>
      </c>
      <c r="E30" s="2">
        <f>IF(ISNUMBER('Group Matches'!G17),'Group Matches'!G17,0)</f>
        <v>2</v>
      </c>
      <c r="F30" s="2">
        <f>IF(AND(ISNUMBER('Group Matches'!F17),ISNUMBER('Group Matches'!G17)),1,0)</f>
        <v>1</v>
      </c>
      <c r="G30" s="2">
        <f t="shared" si="0"/>
        <v>0</v>
      </c>
      <c r="H30" s="2">
        <f t="shared" si="1"/>
        <v>0</v>
      </c>
      <c r="I30" s="2">
        <f t="shared" si="2"/>
        <v>1</v>
      </c>
      <c r="J30" s="2">
        <f t="shared" si="3"/>
        <v>0</v>
      </c>
      <c r="K30" s="2">
        <f>IF(ISNUMBER('Group Matches'!J17),'Group Matches'!J17,0)</f>
        <v>0</v>
      </c>
      <c r="L30" s="2">
        <f>IF(ISNUMBER('Group Matches'!K17),'Group Matches'!K17,0)</f>
        <v>0</v>
      </c>
      <c r="M30" s="2">
        <f>IF(AND(ISNUMBER('Group Matches'!J17),ISNUMBER('Group Matches'!K17)),1,0)</f>
        <v>0</v>
      </c>
      <c r="N30" s="2">
        <f t="shared" si="4"/>
        <v>0</v>
      </c>
      <c r="O30" s="2">
        <f t="shared" si="5"/>
        <v>0</v>
      </c>
      <c r="P30" s="2">
        <f t="shared" si="6"/>
        <v>0</v>
      </c>
      <c r="Q30" s="2">
        <f t="shared" si="7"/>
        <v>0</v>
      </c>
    </row>
    <row r="31" spans="1:17" x14ac:dyDescent="0.2">
      <c r="A31" s="2" t="s">
        <v>46</v>
      </c>
      <c r="B31" s="2" t="str">
        <f>'Group Matches'!E17</f>
        <v>Uruguay</v>
      </c>
      <c r="C31" s="2" t="str">
        <f>'Group Matches'!D17</f>
        <v>Saudi Arabia</v>
      </c>
      <c r="D31" s="2">
        <f>IF(ISNUMBER('Group Matches'!G17),'Group Matches'!G17,0)</f>
        <v>2</v>
      </c>
      <c r="E31" s="2">
        <f>IF(ISNUMBER('Group Matches'!F17),'Group Matches'!F17,0)</f>
        <v>0</v>
      </c>
      <c r="F31" s="2">
        <f>IF(AND(ISNUMBER('Group Matches'!G17),ISNUMBER('Group Matches'!F17)),1,0)</f>
        <v>1</v>
      </c>
      <c r="G31" s="2">
        <f t="shared" si="0"/>
        <v>1</v>
      </c>
      <c r="H31" s="2">
        <f t="shared" si="1"/>
        <v>0</v>
      </c>
      <c r="I31" s="2">
        <f t="shared" si="2"/>
        <v>0</v>
      </c>
      <c r="J31" s="2">
        <f t="shared" si="3"/>
        <v>3</v>
      </c>
      <c r="K31" s="2">
        <f>IF(ISNUMBER('Group Matches'!K17),'Group Matches'!K17,0)</f>
        <v>0</v>
      </c>
      <c r="L31" s="2">
        <f>IF(ISNUMBER('Group Matches'!J17),'Group Matches'!J17,0)</f>
        <v>0</v>
      </c>
      <c r="M31" s="2">
        <f>IF(AND(ISNUMBER('Group Matches'!K17),ISNUMBER('Group Matches'!J17)),1,0)</f>
        <v>0</v>
      </c>
      <c r="N31" s="2">
        <f t="shared" si="4"/>
        <v>0</v>
      </c>
      <c r="O31" s="2">
        <f t="shared" si="5"/>
        <v>0</v>
      </c>
      <c r="P31" s="2">
        <f t="shared" si="6"/>
        <v>0</v>
      </c>
      <c r="Q31" s="2">
        <f t="shared" si="7"/>
        <v>0</v>
      </c>
    </row>
    <row r="32" spans="1:17" x14ac:dyDescent="0.2">
      <c r="A32" s="2" t="s">
        <v>40</v>
      </c>
      <c r="B32" s="2" t="str">
        <f>'Group Matches'!D18</f>
        <v>Iran</v>
      </c>
      <c r="C32" s="2" t="str">
        <f>'Group Matches'!E18</f>
        <v>New Zealand</v>
      </c>
      <c r="D32" s="2">
        <f>IF(ISNUMBER('Group Matches'!F18),'Group Matches'!F18,0)</f>
        <v>0</v>
      </c>
      <c r="E32" s="2">
        <f>IF(ISNUMBER('Group Matches'!G18),'Group Matches'!G18,0)</f>
        <v>0</v>
      </c>
      <c r="F32" s="2">
        <f>IF(AND(ISNUMBER('Group Matches'!F18),ISNUMBER('Group Matches'!G18)),1,0)</f>
        <v>1</v>
      </c>
      <c r="G32" s="2">
        <f t="shared" si="0"/>
        <v>0</v>
      </c>
      <c r="H32" s="2">
        <f t="shared" si="1"/>
        <v>1</v>
      </c>
      <c r="I32" s="2">
        <f t="shared" si="2"/>
        <v>0</v>
      </c>
      <c r="J32" s="2">
        <f t="shared" si="3"/>
        <v>1</v>
      </c>
      <c r="K32" s="2">
        <f>IF(ISNUMBER('Group Matches'!J18),'Group Matches'!J18,0)</f>
        <v>0</v>
      </c>
      <c r="L32" s="2">
        <f>IF(ISNUMBER('Group Matches'!K18),'Group Matches'!K18,0)</f>
        <v>0</v>
      </c>
      <c r="M32" s="2">
        <f>IF(AND(ISNUMBER('Group Matches'!J18),ISNUMBER('Group Matches'!K18)),1,0)</f>
        <v>0</v>
      </c>
      <c r="N32" s="2">
        <f t="shared" si="4"/>
        <v>0</v>
      </c>
      <c r="O32" s="2">
        <f t="shared" si="5"/>
        <v>0</v>
      </c>
      <c r="P32" s="2">
        <f t="shared" si="6"/>
        <v>0</v>
      </c>
      <c r="Q32" s="2">
        <f t="shared" si="7"/>
        <v>0</v>
      </c>
    </row>
    <row r="33" spans="1:17" x14ac:dyDescent="0.2">
      <c r="A33" s="2" t="s">
        <v>40</v>
      </c>
      <c r="B33" s="2" t="str">
        <f>'Group Matches'!E18</f>
        <v>New Zealand</v>
      </c>
      <c r="C33" s="2" t="str">
        <f>'Group Matches'!D18</f>
        <v>Iran</v>
      </c>
      <c r="D33" s="2">
        <f>IF(ISNUMBER('Group Matches'!G18),'Group Matches'!G18,0)</f>
        <v>0</v>
      </c>
      <c r="E33" s="2">
        <f>IF(ISNUMBER('Group Matches'!F18),'Group Matches'!F18,0)</f>
        <v>0</v>
      </c>
      <c r="F33" s="2">
        <f>IF(AND(ISNUMBER('Group Matches'!G18),ISNUMBER('Group Matches'!F18)),1,0)</f>
        <v>1</v>
      </c>
      <c r="G33" s="2">
        <f t="shared" si="0"/>
        <v>0</v>
      </c>
      <c r="H33" s="2">
        <f t="shared" si="1"/>
        <v>1</v>
      </c>
      <c r="I33" s="2">
        <f t="shared" si="2"/>
        <v>0</v>
      </c>
      <c r="J33" s="2">
        <f t="shared" si="3"/>
        <v>1</v>
      </c>
      <c r="K33" s="2">
        <f>IF(ISNUMBER('Group Matches'!K18),'Group Matches'!K18,0)</f>
        <v>0</v>
      </c>
      <c r="L33" s="2">
        <f>IF(ISNUMBER('Group Matches'!J18),'Group Matches'!J18,0)</f>
        <v>0</v>
      </c>
      <c r="M33" s="2">
        <f>IF(AND(ISNUMBER('Group Matches'!K18),ISNUMBER('Group Matches'!J18)),1,0)</f>
        <v>0</v>
      </c>
      <c r="N33" s="2">
        <f t="shared" si="4"/>
        <v>0</v>
      </c>
      <c r="O33" s="2">
        <f t="shared" si="5"/>
        <v>0</v>
      </c>
      <c r="P33" s="2">
        <f t="shared" si="6"/>
        <v>0</v>
      </c>
      <c r="Q33" s="2">
        <f t="shared" si="7"/>
        <v>0</v>
      </c>
    </row>
    <row r="34" spans="1:17" x14ac:dyDescent="0.2">
      <c r="A34" s="2" t="s">
        <v>51</v>
      </c>
      <c r="B34" s="2" t="str">
        <f>'Group Matches'!D19</f>
        <v>France</v>
      </c>
      <c r="C34" s="2" t="str">
        <f>'Group Matches'!E19</f>
        <v>Senegal</v>
      </c>
      <c r="D34" s="2">
        <f>IF(ISNUMBER('Group Matches'!F19),'Group Matches'!F19,0)</f>
        <v>3</v>
      </c>
      <c r="E34" s="2">
        <f>IF(ISNUMBER('Group Matches'!G19),'Group Matches'!G19,0)</f>
        <v>0</v>
      </c>
      <c r="F34" s="2">
        <f>IF(AND(ISNUMBER('Group Matches'!F19),ISNUMBER('Group Matches'!G19)),1,0)</f>
        <v>1</v>
      </c>
      <c r="G34" s="2">
        <f t="shared" ref="G34:G65" si="8">IF(AND(F34=1,D34&gt;E34),1,0)</f>
        <v>1</v>
      </c>
      <c r="H34" s="2">
        <f t="shared" ref="H34:H65" si="9">IF(AND(F34=1,D34=E34),1,0)</f>
        <v>0</v>
      </c>
      <c r="I34" s="2">
        <f t="shared" ref="I34:I65" si="10">IF(AND(F34=1,D34&lt;E34),1,0)</f>
        <v>0</v>
      </c>
      <c r="J34" s="2">
        <f t="shared" ref="J34:J65" si="11">3*G34+H34</f>
        <v>3</v>
      </c>
      <c r="K34" s="2">
        <f>IF(ISNUMBER('Group Matches'!J19),'Group Matches'!J19,0)</f>
        <v>0</v>
      </c>
      <c r="L34" s="2">
        <f>IF(ISNUMBER('Group Matches'!K19),'Group Matches'!K19,0)</f>
        <v>0</v>
      </c>
      <c r="M34" s="2">
        <f>IF(AND(ISNUMBER('Group Matches'!J19),ISNUMBER('Group Matches'!K19)),1,0)</f>
        <v>0</v>
      </c>
      <c r="N34" s="2">
        <f t="shared" ref="N34:N65" si="12">IF(AND(M34=1,K34&gt;L34),1,0)</f>
        <v>0</v>
      </c>
      <c r="O34" s="2">
        <f t="shared" ref="O34:O65" si="13">IF(AND(M34=1,K34=L34),1,0)</f>
        <v>0</v>
      </c>
      <c r="P34" s="2">
        <f t="shared" ref="P34:P65" si="14">IF(AND(M34=1,K34&lt;L34),1,0)</f>
        <v>0</v>
      </c>
      <c r="Q34" s="2">
        <f t="shared" ref="Q34:Q65" si="15">3*N34+O34</f>
        <v>0</v>
      </c>
    </row>
    <row r="35" spans="1:17" x14ac:dyDescent="0.2">
      <c r="A35" s="2" t="s">
        <v>51</v>
      </c>
      <c r="B35" s="2" t="str">
        <f>'Group Matches'!E19</f>
        <v>Senegal</v>
      </c>
      <c r="C35" s="2" t="str">
        <f>'Group Matches'!D19</f>
        <v>France</v>
      </c>
      <c r="D35" s="2">
        <f>IF(ISNUMBER('Group Matches'!G19),'Group Matches'!G19,0)</f>
        <v>0</v>
      </c>
      <c r="E35" s="2">
        <f>IF(ISNUMBER('Group Matches'!F19),'Group Matches'!F19,0)</f>
        <v>3</v>
      </c>
      <c r="F35" s="2">
        <f>IF(AND(ISNUMBER('Group Matches'!G19),ISNUMBER('Group Matches'!F19)),1,0)</f>
        <v>1</v>
      </c>
      <c r="G35" s="2">
        <f t="shared" si="8"/>
        <v>0</v>
      </c>
      <c r="H35" s="2">
        <f t="shared" si="9"/>
        <v>0</v>
      </c>
      <c r="I35" s="2">
        <f t="shared" si="10"/>
        <v>1</v>
      </c>
      <c r="J35" s="2">
        <f t="shared" si="11"/>
        <v>0</v>
      </c>
      <c r="K35" s="2">
        <f>IF(ISNUMBER('Group Matches'!K19),'Group Matches'!K19,0)</f>
        <v>0</v>
      </c>
      <c r="L35" s="2">
        <f>IF(ISNUMBER('Group Matches'!J19),'Group Matches'!J19,0)</f>
        <v>0</v>
      </c>
      <c r="M35" s="2">
        <f>IF(AND(ISNUMBER('Group Matches'!K19),ISNUMBER('Group Matches'!J19)),1,0)</f>
        <v>0</v>
      </c>
      <c r="N35" s="2">
        <f t="shared" si="12"/>
        <v>0</v>
      </c>
      <c r="O35" s="2">
        <f t="shared" si="13"/>
        <v>0</v>
      </c>
      <c r="P35" s="2">
        <f t="shared" si="14"/>
        <v>0</v>
      </c>
      <c r="Q35" s="2">
        <f t="shared" si="15"/>
        <v>0</v>
      </c>
    </row>
    <row r="36" spans="1:17" x14ac:dyDescent="0.2">
      <c r="A36" s="2" t="s">
        <v>51</v>
      </c>
      <c r="B36" s="2" t="str">
        <f>'Group Matches'!D20</f>
        <v>Iraq</v>
      </c>
      <c r="C36" s="2" t="str">
        <f>'Group Matches'!E20</f>
        <v>Norway</v>
      </c>
      <c r="D36" s="2">
        <f>IF(ISNUMBER('Group Matches'!F20),'Group Matches'!F20,0)</f>
        <v>0</v>
      </c>
      <c r="E36" s="2">
        <f>IF(ISNUMBER('Group Matches'!G20),'Group Matches'!G20,0)</f>
        <v>2</v>
      </c>
      <c r="F36" s="2">
        <f>IF(AND(ISNUMBER('Group Matches'!F20),ISNUMBER('Group Matches'!G20)),1,0)</f>
        <v>1</v>
      </c>
      <c r="G36" s="2">
        <f t="shared" si="8"/>
        <v>0</v>
      </c>
      <c r="H36" s="2">
        <f t="shared" si="9"/>
        <v>0</v>
      </c>
      <c r="I36" s="2">
        <f t="shared" si="10"/>
        <v>1</v>
      </c>
      <c r="J36" s="2">
        <f t="shared" si="11"/>
        <v>0</v>
      </c>
      <c r="K36" s="2">
        <f>IF(ISNUMBER('Group Matches'!J20),'Group Matches'!J20,0)</f>
        <v>0</v>
      </c>
      <c r="L36" s="2">
        <f>IF(ISNUMBER('Group Matches'!K20),'Group Matches'!K20,0)</f>
        <v>0</v>
      </c>
      <c r="M36" s="2">
        <f>IF(AND(ISNUMBER('Group Matches'!J20),ISNUMBER('Group Matches'!K20)),1,0)</f>
        <v>0</v>
      </c>
      <c r="N36" s="2">
        <f t="shared" si="12"/>
        <v>0</v>
      </c>
      <c r="O36" s="2">
        <f t="shared" si="13"/>
        <v>0</v>
      </c>
      <c r="P36" s="2">
        <f t="shared" si="14"/>
        <v>0</v>
      </c>
      <c r="Q36" s="2">
        <f t="shared" si="15"/>
        <v>0</v>
      </c>
    </row>
    <row r="37" spans="1:17" x14ac:dyDescent="0.2">
      <c r="A37" s="2" t="s">
        <v>51</v>
      </c>
      <c r="B37" s="2" t="str">
        <f>'Group Matches'!E20</f>
        <v>Norway</v>
      </c>
      <c r="C37" s="2" t="str">
        <f>'Group Matches'!D20</f>
        <v>Iraq</v>
      </c>
      <c r="D37" s="2">
        <f>IF(ISNUMBER('Group Matches'!G20),'Group Matches'!G20,0)</f>
        <v>2</v>
      </c>
      <c r="E37" s="2">
        <f>IF(ISNUMBER('Group Matches'!F20),'Group Matches'!F20,0)</f>
        <v>0</v>
      </c>
      <c r="F37" s="2">
        <f>IF(AND(ISNUMBER('Group Matches'!G20),ISNUMBER('Group Matches'!F20)),1,0)</f>
        <v>1</v>
      </c>
      <c r="G37" s="2">
        <f t="shared" si="8"/>
        <v>1</v>
      </c>
      <c r="H37" s="2">
        <f t="shared" si="9"/>
        <v>0</v>
      </c>
      <c r="I37" s="2">
        <f t="shared" si="10"/>
        <v>0</v>
      </c>
      <c r="J37" s="2">
        <f t="shared" si="11"/>
        <v>3</v>
      </c>
      <c r="K37" s="2">
        <f>IF(ISNUMBER('Group Matches'!K20),'Group Matches'!K20,0)</f>
        <v>0</v>
      </c>
      <c r="L37" s="2">
        <f>IF(ISNUMBER('Group Matches'!J20),'Group Matches'!J20,0)</f>
        <v>0</v>
      </c>
      <c r="M37" s="2">
        <f>IF(AND(ISNUMBER('Group Matches'!K20),ISNUMBER('Group Matches'!J20)),1,0)</f>
        <v>0</v>
      </c>
      <c r="N37" s="2">
        <f t="shared" si="12"/>
        <v>0</v>
      </c>
      <c r="O37" s="2">
        <f t="shared" si="13"/>
        <v>0</v>
      </c>
      <c r="P37" s="2">
        <f t="shared" si="14"/>
        <v>0</v>
      </c>
      <c r="Q37" s="2">
        <f t="shared" si="15"/>
        <v>0</v>
      </c>
    </row>
    <row r="38" spans="1:17" x14ac:dyDescent="0.2">
      <c r="A38" s="2" t="s">
        <v>56</v>
      </c>
      <c r="B38" s="2" t="str">
        <f>'Group Matches'!D21</f>
        <v>Argentina</v>
      </c>
      <c r="C38" s="2" t="str">
        <f>'Group Matches'!E21</f>
        <v>Algeria</v>
      </c>
      <c r="D38" s="2">
        <f>IF(ISNUMBER('Group Matches'!F21),'Group Matches'!F21,0)</f>
        <v>2</v>
      </c>
      <c r="E38" s="2">
        <f>IF(ISNUMBER('Group Matches'!G21),'Group Matches'!G21,0)</f>
        <v>0</v>
      </c>
      <c r="F38" s="2">
        <f>IF(AND(ISNUMBER('Group Matches'!F21),ISNUMBER('Group Matches'!G21)),1,0)</f>
        <v>1</v>
      </c>
      <c r="G38" s="2">
        <f t="shared" si="8"/>
        <v>1</v>
      </c>
      <c r="H38" s="2">
        <f t="shared" si="9"/>
        <v>0</v>
      </c>
      <c r="I38" s="2">
        <f t="shared" si="10"/>
        <v>0</v>
      </c>
      <c r="J38" s="2">
        <f t="shared" si="11"/>
        <v>3</v>
      </c>
      <c r="K38" s="2">
        <f>IF(ISNUMBER('Group Matches'!J21),'Group Matches'!J21,0)</f>
        <v>0</v>
      </c>
      <c r="L38" s="2">
        <f>IF(ISNUMBER('Group Matches'!K21),'Group Matches'!K21,0)</f>
        <v>0</v>
      </c>
      <c r="M38" s="2">
        <f>IF(AND(ISNUMBER('Group Matches'!J21),ISNUMBER('Group Matches'!K21)),1,0)</f>
        <v>0</v>
      </c>
      <c r="N38" s="2">
        <f t="shared" si="12"/>
        <v>0</v>
      </c>
      <c r="O38" s="2">
        <f t="shared" si="13"/>
        <v>0</v>
      </c>
      <c r="P38" s="2">
        <f t="shared" si="14"/>
        <v>0</v>
      </c>
      <c r="Q38" s="2">
        <f t="shared" si="15"/>
        <v>0</v>
      </c>
    </row>
    <row r="39" spans="1:17" x14ac:dyDescent="0.2">
      <c r="A39" s="2" t="s">
        <v>56</v>
      </c>
      <c r="B39" s="2" t="str">
        <f>'Group Matches'!E21</f>
        <v>Algeria</v>
      </c>
      <c r="C39" s="2" t="str">
        <f>'Group Matches'!D21</f>
        <v>Argentina</v>
      </c>
      <c r="D39" s="2">
        <f>IF(ISNUMBER('Group Matches'!G21),'Group Matches'!G21,0)</f>
        <v>0</v>
      </c>
      <c r="E39" s="2">
        <f>IF(ISNUMBER('Group Matches'!F21),'Group Matches'!F21,0)</f>
        <v>2</v>
      </c>
      <c r="F39" s="2">
        <f>IF(AND(ISNUMBER('Group Matches'!G21),ISNUMBER('Group Matches'!F21)),1,0)</f>
        <v>1</v>
      </c>
      <c r="G39" s="2">
        <f t="shared" si="8"/>
        <v>0</v>
      </c>
      <c r="H39" s="2">
        <f t="shared" si="9"/>
        <v>0</v>
      </c>
      <c r="I39" s="2">
        <f t="shared" si="10"/>
        <v>1</v>
      </c>
      <c r="J39" s="2">
        <f t="shared" si="11"/>
        <v>0</v>
      </c>
      <c r="K39" s="2">
        <f>IF(ISNUMBER('Group Matches'!K21),'Group Matches'!K21,0)</f>
        <v>0</v>
      </c>
      <c r="L39" s="2">
        <f>IF(ISNUMBER('Group Matches'!J21),'Group Matches'!J21,0)</f>
        <v>0</v>
      </c>
      <c r="M39" s="2">
        <f>IF(AND(ISNUMBER('Group Matches'!K21),ISNUMBER('Group Matches'!J21)),1,0)</f>
        <v>0</v>
      </c>
      <c r="N39" s="2">
        <f t="shared" si="12"/>
        <v>0</v>
      </c>
      <c r="O39" s="2">
        <f t="shared" si="13"/>
        <v>0</v>
      </c>
      <c r="P39" s="2">
        <f t="shared" si="14"/>
        <v>0</v>
      </c>
      <c r="Q39" s="2">
        <f t="shared" si="15"/>
        <v>0</v>
      </c>
    </row>
    <row r="40" spans="1:17" x14ac:dyDescent="0.2">
      <c r="A40" s="2" t="s">
        <v>56</v>
      </c>
      <c r="B40" s="2" t="str">
        <f>'Group Matches'!D22</f>
        <v>Austria</v>
      </c>
      <c r="C40" s="2" t="str">
        <f>'Group Matches'!E22</f>
        <v>Jordan</v>
      </c>
      <c r="D40" s="2">
        <f>IF(ISNUMBER('Group Matches'!F22),'Group Matches'!F22,0)</f>
        <v>1</v>
      </c>
      <c r="E40" s="2">
        <f>IF(ISNUMBER('Group Matches'!G22),'Group Matches'!G22,0)</f>
        <v>0</v>
      </c>
      <c r="F40" s="2">
        <f>IF(AND(ISNUMBER('Group Matches'!F22),ISNUMBER('Group Matches'!G22)),1,0)</f>
        <v>1</v>
      </c>
      <c r="G40" s="2">
        <f t="shared" si="8"/>
        <v>1</v>
      </c>
      <c r="H40" s="2">
        <f t="shared" si="9"/>
        <v>0</v>
      </c>
      <c r="I40" s="2">
        <f t="shared" si="10"/>
        <v>0</v>
      </c>
      <c r="J40" s="2">
        <f t="shared" si="11"/>
        <v>3</v>
      </c>
      <c r="K40" s="2">
        <f>IF(ISNUMBER('Group Matches'!J22),'Group Matches'!J22,0)</f>
        <v>0</v>
      </c>
      <c r="L40" s="2">
        <f>IF(ISNUMBER('Group Matches'!K22),'Group Matches'!K22,0)</f>
        <v>0</v>
      </c>
      <c r="M40" s="2">
        <f>IF(AND(ISNUMBER('Group Matches'!J22),ISNUMBER('Group Matches'!K22)),1,0)</f>
        <v>0</v>
      </c>
      <c r="N40" s="2">
        <f t="shared" si="12"/>
        <v>0</v>
      </c>
      <c r="O40" s="2">
        <f t="shared" si="13"/>
        <v>0</v>
      </c>
      <c r="P40" s="2">
        <f t="shared" si="14"/>
        <v>0</v>
      </c>
      <c r="Q40" s="2">
        <f t="shared" si="15"/>
        <v>0</v>
      </c>
    </row>
    <row r="41" spans="1:17" x14ac:dyDescent="0.2">
      <c r="A41" s="2" t="s">
        <v>56</v>
      </c>
      <c r="B41" s="2" t="str">
        <f>'Group Matches'!E22</f>
        <v>Jordan</v>
      </c>
      <c r="C41" s="2" t="str">
        <f>'Group Matches'!D22</f>
        <v>Austria</v>
      </c>
      <c r="D41" s="2">
        <f>IF(ISNUMBER('Group Matches'!G22),'Group Matches'!G22,0)</f>
        <v>0</v>
      </c>
      <c r="E41" s="2">
        <f>IF(ISNUMBER('Group Matches'!F22),'Group Matches'!F22,0)</f>
        <v>1</v>
      </c>
      <c r="F41" s="2">
        <f>IF(AND(ISNUMBER('Group Matches'!G22),ISNUMBER('Group Matches'!F22)),1,0)</f>
        <v>1</v>
      </c>
      <c r="G41" s="2">
        <f t="shared" si="8"/>
        <v>0</v>
      </c>
      <c r="H41" s="2">
        <f t="shared" si="9"/>
        <v>0</v>
      </c>
      <c r="I41" s="2">
        <f t="shared" si="10"/>
        <v>1</v>
      </c>
      <c r="J41" s="2">
        <f t="shared" si="11"/>
        <v>0</v>
      </c>
      <c r="K41" s="2">
        <f>IF(ISNUMBER('Group Matches'!K22),'Group Matches'!K22,0)</f>
        <v>0</v>
      </c>
      <c r="L41" s="2">
        <f>IF(ISNUMBER('Group Matches'!J22),'Group Matches'!J22,0)</f>
        <v>0</v>
      </c>
      <c r="M41" s="2">
        <f>IF(AND(ISNUMBER('Group Matches'!K22),ISNUMBER('Group Matches'!J22)),1,0)</f>
        <v>0</v>
      </c>
      <c r="N41" s="2">
        <f t="shared" si="12"/>
        <v>0</v>
      </c>
      <c r="O41" s="2">
        <f t="shared" si="13"/>
        <v>0</v>
      </c>
      <c r="P41" s="2">
        <f t="shared" si="14"/>
        <v>0</v>
      </c>
      <c r="Q41" s="2">
        <f t="shared" si="15"/>
        <v>0</v>
      </c>
    </row>
    <row r="42" spans="1:17" x14ac:dyDescent="0.2">
      <c r="A42" s="2" t="s">
        <v>61</v>
      </c>
      <c r="B42" s="2" t="str">
        <f>'Group Matches'!D23</f>
        <v>Portugal</v>
      </c>
      <c r="C42" s="2" t="str">
        <f>'Group Matches'!E23</f>
        <v>DR Congo</v>
      </c>
      <c r="D42" s="2">
        <f>IF(ISNUMBER('Group Matches'!F23),'Group Matches'!F23,0)</f>
        <v>3</v>
      </c>
      <c r="E42" s="2">
        <f>IF(ISNUMBER('Group Matches'!G23),'Group Matches'!G23,0)</f>
        <v>0</v>
      </c>
      <c r="F42" s="2">
        <f>IF(AND(ISNUMBER('Group Matches'!F23),ISNUMBER('Group Matches'!G23)),1,0)</f>
        <v>1</v>
      </c>
      <c r="G42" s="2">
        <f t="shared" si="8"/>
        <v>1</v>
      </c>
      <c r="H42" s="2">
        <f t="shared" si="9"/>
        <v>0</v>
      </c>
      <c r="I42" s="2">
        <f t="shared" si="10"/>
        <v>0</v>
      </c>
      <c r="J42" s="2">
        <f t="shared" si="11"/>
        <v>3</v>
      </c>
      <c r="K42" s="2">
        <f>IF(ISNUMBER('Group Matches'!J23),'Group Matches'!J23,0)</f>
        <v>0</v>
      </c>
      <c r="L42" s="2">
        <f>IF(ISNUMBER('Group Matches'!K23),'Group Matches'!K23,0)</f>
        <v>0</v>
      </c>
      <c r="M42" s="2">
        <f>IF(AND(ISNUMBER('Group Matches'!J23),ISNUMBER('Group Matches'!K23)),1,0)</f>
        <v>0</v>
      </c>
      <c r="N42" s="2">
        <f t="shared" si="12"/>
        <v>0</v>
      </c>
      <c r="O42" s="2">
        <f t="shared" si="13"/>
        <v>0</v>
      </c>
      <c r="P42" s="2">
        <f t="shared" si="14"/>
        <v>0</v>
      </c>
      <c r="Q42" s="2">
        <f t="shared" si="15"/>
        <v>0</v>
      </c>
    </row>
    <row r="43" spans="1:17" x14ac:dyDescent="0.2">
      <c r="A43" s="2" t="s">
        <v>61</v>
      </c>
      <c r="B43" s="2" t="str">
        <f>'Group Matches'!E23</f>
        <v>DR Congo</v>
      </c>
      <c r="C43" s="2" t="str">
        <f>'Group Matches'!D23</f>
        <v>Portugal</v>
      </c>
      <c r="D43" s="2">
        <f>IF(ISNUMBER('Group Matches'!G23),'Group Matches'!G23,0)</f>
        <v>0</v>
      </c>
      <c r="E43" s="2">
        <f>IF(ISNUMBER('Group Matches'!F23),'Group Matches'!F23,0)</f>
        <v>3</v>
      </c>
      <c r="F43" s="2">
        <f>IF(AND(ISNUMBER('Group Matches'!G23),ISNUMBER('Group Matches'!F23)),1,0)</f>
        <v>1</v>
      </c>
      <c r="G43" s="2">
        <f t="shared" si="8"/>
        <v>0</v>
      </c>
      <c r="H43" s="2">
        <f t="shared" si="9"/>
        <v>0</v>
      </c>
      <c r="I43" s="2">
        <f t="shared" si="10"/>
        <v>1</v>
      </c>
      <c r="J43" s="2">
        <f t="shared" si="11"/>
        <v>0</v>
      </c>
      <c r="K43" s="2">
        <f>IF(ISNUMBER('Group Matches'!K23),'Group Matches'!K23,0)</f>
        <v>0</v>
      </c>
      <c r="L43" s="2">
        <f>IF(ISNUMBER('Group Matches'!J23),'Group Matches'!J23,0)</f>
        <v>0</v>
      </c>
      <c r="M43" s="2">
        <f>IF(AND(ISNUMBER('Group Matches'!K23),ISNUMBER('Group Matches'!J23)),1,0)</f>
        <v>0</v>
      </c>
      <c r="N43" s="2">
        <f t="shared" si="12"/>
        <v>0</v>
      </c>
      <c r="O43" s="2">
        <f t="shared" si="13"/>
        <v>0</v>
      </c>
      <c r="P43" s="2">
        <f t="shared" si="14"/>
        <v>0</v>
      </c>
      <c r="Q43" s="2">
        <f t="shared" si="15"/>
        <v>0</v>
      </c>
    </row>
    <row r="44" spans="1:17" x14ac:dyDescent="0.2">
      <c r="A44" s="2" t="s">
        <v>66</v>
      </c>
      <c r="B44" s="2" t="str">
        <f>'Group Matches'!D24</f>
        <v>England</v>
      </c>
      <c r="C44" s="2" t="str">
        <f>'Group Matches'!E24</f>
        <v>Croatia</v>
      </c>
      <c r="D44" s="2">
        <f>IF(ISNUMBER('Group Matches'!F24),'Group Matches'!F24,0)</f>
        <v>1</v>
      </c>
      <c r="E44" s="2">
        <f>IF(ISNUMBER('Group Matches'!G24),'Group Matches'!G24,0)</f>
        <v>1</v>
      </c>
      <c r="F44" s="2">
        <f>IF(AND(ISNUMBER('Group Matches'!F24),ISNUMBER('Group Matches'!G24)),1,0)</f>
        <v>1</v>
      </c>
      <c r="G44" s="2">
        <f t="shared" si="8"/>
        <v>0</v>
      </c>
      <c r="H44" s="2">
        <f t="shared" si="9"/>
        <v>1</v>
      </c>
      <c r="I44" s="2">
        <f t="shared" si="10"/>
        <v>0</v>
      </c>
      <c r="J44" s="2">
        <f t="shared" si="11"/>
        <v>1</v>
      </c>
      <c r="K44" s="2">
        <f>IF(ISNUMBER('Group Matches'!J24),'Group Matches'!J24,0)</f>
        <v>0</v>
      </c>
      <c r="L44" s="2">
        <f>IF(ISNUMBER('Group Matches'!K24),'Group Matches'!K24,0)</f>
        <v>0</v>
      </c>
      <c r="M44" s="2">
        <f>IF(AND(ISNUMBER('Group Matches'!J24),ISNUMBER('Group Matches'!K24)),1,0)</f>
        <v>0</v>
      </c>
      <c r="N44" s="2">
        <f t="shared" si="12"/>
        <v>0</v>
      </c>
      <c r="O44" s="2">
        <f t="shared" si="13"/>
        <v>0</v>
      </c>
      <c r="P44" s="2">
        <f t="shared" si="14"/>
        <v>0</v>
      </c>
      <c r="Q44" s="2">
        <f t="shared" si="15"/>
        <v>0</v>
      </c>
    </row>
    <row r="45" spans="1:17" x14ac:dyDescent="0.2">
      <c r="A45" s="2" t="s">
        <v>66</v>
      </c>
      <c r="B45" s="2" t="str">
        <f>'Group Matches'!E24</f>
        <v>Croatia</v>
      </c>
      <c r="C45" s="2" t="str">
        <f>'Group Matches'!D24</f>
        <v>England</v>
      </c>
      <c r="D45" s="2">
        <f>IF(ISNUMBER('Group Matches'!G24),'Group Matches'!G24,0)</f>
        <v>1</v>
      </c>
      <c r="E45" s="2">
        <f>IF(ISNUMBER('Group Matches'!F24),'Group Matches'!F24,0)</f>
        <v>1</v>
      </c>
      <c r="F45" s="2">
        <f>IF(AND(ISNUMBER('Group Matches'!G24),ISNUMBER('Group Matches'!F24)),1,0)</f>
        <v>1</v>
      </c>
      <c r="G45" s="2">
        <f t="shared" si="8"/>
        <v>0</v>
      </c>
      <c r="H45" s="2">
        <f t="shared" si="9"/>
        <v>1</v>
      </c>
      <c r="I45" s="2">
        <f t="shared" si="10"/>
        <v>0</v>
      </c>
      <c r="J45" s="2">
        <f t="shared" si="11"/>
        <v>1</v>
      </c>
      <c r="K45" s="2">
        <f>IF(ISNUMBER('Group Matches'!K24),'Group Matches'!K24,0)</f>
        <v>0</v>
      </c>
      <c r="L45" s="2">
        <f>IF(ISNUMBER('Group Matches'!J24),'Group Matches'!J24,0)</f>
        <v>0</v>
      </c>
      <c r="M45" s="2">
        <f>IF(AND(ISNUMBER('Group Matches'!K24),ISNUMBER('Group Matches'!J24)),1,0)</f>
        <v>0</v>
      </c>
      <c r="N45" s="2">
        <f t="shared" si="12"/>
        <v>0</v>
      </c>
      <c r="O45" s="2">
        <f t="shared" si="13"/>
        <v>0</v>
      </c>
      <c r="P45" s="2">
        <f t="shared" si="14"/>
        <v>0</v>
      </c>
      <c r="Q45" s="2">
        <f t="shared" si="15"/>
        <v>0</v>
      </c>
    </row>
    <row r="46" spans="1:17" x14ac:dyDescent="0.2">
      <c r="A46" s="2" t="s">
        <v>66</v>
      </c>
      <c r="B46" s="2" t="str">
        <f>'Group Matches'!D25</f>
        <v>Ghana</v>
      </c>
      <c r="C46" s="2" t="str">
        <f>'Group Matches'!E25</f>
        <v>Panama</v>
      </c>
      <c r="D46" s="2">
        <f>IF(ISNUMBER('Group Matches'!F25),'Group Matches'!F25,0)</f>
        <v>2</v>
      </c>
      <c r="E46" s="2">
        <f>IF(ISNUMBER('Group Matches'!G25),'Group Matches'!G25,0)</f>
        <v>0</v>
      </c>
      <c r="F46" s="2">
        <f>IF(AND(ISNUMBER('Group Matches'!F25),ISNUMBER('Group Matches'!G25)),1,0)</f>
        <v>1</v>
      </c>
      <c r="G46" s="2">
        <f t="shared" si="8"/>
        <v>1</v>
      </c>
      <c r="H46" s="2">
        <f t="shared" si="9"/>
        <v>0</v>
      </c>
      <c r="I46" s="2">
        <f t="shared" si="10"/>
        <v>0</v>
      </c>
      <c r="J46" s="2">
        <f t="shared" si="11"/>
        <v>3</v>
      </c>
      <c r="K46" s="2">
        <f>IF(ISNUMBER('Group Matches'!J25),'Group Matches'!J25,0)</f>
        <v>0</v>
      </c>
      <c r="L46" s="2">
        <f>IF(ISNUMBER('Group Matches'!K25),'Group Matches'!K25,0)</f>
        <v>0</v>
      </c>
      <c r="M46" s="2">
        <f>IF(AND(ISNUMBER('Group Matches'!J25),ISNUMBER('Group Matches'!K25)),1,0)</f>
        <v>0</v>
      </c>
      <c r="N46" s="2">
        <f t="shared" si="12"/>
        <v>0</v>
      </c>
      <c r="O46" s="2">
        <f t="shared" si="13"/>
        <v>0</v>
      </c>
      <c r="P46" s="2">
        <f t="shared" si="14"/>
        <v>0</v>
      </c>
      <c r="Q46" s="2">
        <f t="shared" si="15"/>
        <v>0</v>
      </c>
    </row>
    <row r="47" spans="1:17" x14ac:dyDescent="0.2">
      <c r="A47" s="2" t="s">
        <v>66</v>
      </c>
      <c r="B47" s="2" t="str">
        <f>'Group Matches'!E25</f>
        <v>Panama</v>
      </c>
      <c r="C47" s="2" t="str">
        <f>'Group Matches'!D25</f>
        <v>Ghana</v>
      </c>
      <c r="D47" s="2">
        <f>IF(ISNUMBER('Group Matches'!G25),'Group Matches'!G25,0)</f>
        <v>0</v>
      </c>
      <c r="E47" s="2">
        <f>IF(ISNUMBER('Group Matches'!F25),'Group Matches'!F25,0)</f>
        <v>2</v>
      </c>
      <c r="F47" s="2">
        <f>IF(AND(ISNUMBER('Group Matches'!G25),ISNUMBER('Group Matches'!F25)),1,0)</f>
        <v>1</v>
      </c>
      <c r="G47" s="2">
        <f t="shared" si="8"/>
        <v>0</v>
      </c>
      <c r="H47" s="2">
        <f t="shared" si="9"/>
        <v>0</v>
      </c>
      <c r="I47" s="2">
        <f t="shared" si="10"/>
        <v>1</v>
      </c>
      <c r="J47" s="2">
        <f t="shared" si="11"/>
        <v>0</v>
      </c>
      <c r="K47" s="2">
        <f>IF(ISNUMBER('Group Matches'!K25),'Group Matches'!K25,0)</f>
        <v>0</v>
      </c>
      <c r="L47" s="2">
        <f>IF(ISNUMBER('Group Matches'!J25),'Group Matches'!J25,0)</f>
        <v>0</v>
      </c>
      <c r="M47" s="2">
        <f>IF(AND(ISNUMBER('Group Matches'!K25),ISNUMBER('Group Matches'!J25)),1,0)</f>
        <v>0</v>
      </c>
      <c r="N47" s="2">
        <f t="shared" si="12"/>
        <v>0</v>
      </c>
      <c r="O47" s="2">
        <f t="shared" si="13"/>
        <v>0</v>
      </c>
      <c r="P47" s="2">
        <f t="shared" si="14"/>
        <v>0</v>
      </c>
      <c r="Q47" s="2">
        <f t="shared" si="15"/>
        <v>0</v>
      </c>
    </row>
    <row r="48" spans="1:17" x14ac:dyDescent="0.2">
      <c r="A48" s="2" t="s">
        <v>61</v>
      </c>
      <c r="B48" s="2" t="str">
        <f>'Group Matches'!D26</f>
        <v>Uzbekistan</v>
      </c>
      <c r="C48" s="2" t="str">
        <f>'Group Matches'!E26</f>
        <v>Colombia</v>
      </c>
      <c r="D48" s="2">
        <f>IF(ISNUMBER('Group Matches'!F26),'Group Matches'!F26,0)</f>
        <v>0</v>
      </c>
      <c r="E48" s="2">
        <f>IF(ISNUMBER('Group Matches'!G26),'Group Matches'!G26,0)</f>
        <v>3</v>
      </c>
      <c r="F48" s="2">
        <f>IF(AND(ISNUMBER('Group Matches'!F26),ISNUMBER('Group Matches'!G26)),1,0)</f>
        <v>1</v>
      </c>
      <c r="G48" s="2">
        <f t="shared" si="8"/>
        <v>0</v>
      </c>
      <c r="H48" s="2">
        <f t="shared" si="9"/>
        <v>0</v>
      </c>
      <c r="I48" s="2">
        <f t="shared" si="10"/>
        <v>1</v>
      </c>
      <c r="J48" s="2">
        <f t="shared" si="11"/>
        <v>0</v>
      </c>
      <c r="K48" s="2">
        <f>IF(ISNUMBER('Group Matches'!J26),'Group Matches'!J26,0)</f>
        <v>0</v>
      </c>
      <c r="L48" s="2">
        <f>IF(ISNUMBER('Group Matches'!K26),'Group Matches'!K26,0)</f>
        <v>0</v>
      </c>
      <c r="M48" s="2">
        <f>IF(AND(ISNUMBER('Group Matches'!J26),ISNUMBER('Group Matches'!K26)),1,0)</f>
        <v>0</v>
      </c>
      <c r="N48" s="2">
        <f t="shared" si="12"/>
        <v>0</v>
      </c>
      <c r="O48" s="2">
        <f t="shared" si="13"/>
        <v>0</v>
      </c>
      <c r="P48" s="2">
        <f t="shared" si="14"/>
        <v>0</v>
      </c>
      <c r="Q48" s="2">
        <f t="shared" si="15"/>
        <v>0</v>
      </c>
    </row>
    <row r="49" spans="1:17" x14ac:dyDescent="0.2">
      <c r="A49" s="2" t="s">
        <v>61</v>
      </c>
      <c r="B49" s="2" t="str">
        <f>'Group Matches'!E26</f>
        <v>Colombia</v>
      </c>
      <c r="C49" s="2" t="str">
        <f>'Group Matches'!D26</f>
        <v>Uzbekistan</v>
      </c>
      <c r="D49" s="2">
        <f>IF(ISNUMBER('Group Matches'!G26),'Group Matches'!G26,0)</f>
        <v>3</v>
      </c>
      <c r="E49" s="2">
        <f>IF(ISNUMBER('Group Matches'!F26),'Group Matches'!F26,0)</f>
        <v>0</v>
      </c>
      <c r="F49" s="2">
        <f>IF(AND(ISNUMBER('Group Matches'!G26),ISNUMBER('Group Matches'!F26)),1,0)</f>
        <v>1</v>
      </c>
      <c r="G49" s="2">
        <f t="shared" si="8"/>
        <v>1</v>
      </c>
      <c r="H49" s="2">
        <f t="shared" si="9"/>
        <v>0</v>
      </c>
      <c r="I49" s="2">
        <f t="shared" si="10"/>
        <v>0</v>
      </c>
      <c r="J49" s="2">
        <f t="shared" si="11"/>
        <v>3</v>
      </c>
      <c r="K49" s="2">
        <f>IF(ISNUMBER('Group Matches'!K26),'Group Matches'!K26,0)</f>
        <v>0</v>
      </c>
      <c r="L49" s="2">
        <f>IF(ISNUMBER('Group Matches'!J26),'Group Matches'!J26,0)</f>
        <v>0</v>
      </c>
      <c r="M49" s="2">
        <f>IF(AND(ISNUMBER('Group Matches'!K26),ISNUMBER('Group Matches'!J26)),1,0)</f>
        <v>0</v>
      </c>
      <c r="N49" s="2">
        <f t="shared" si="12"/>
        <v>0</v>
      </c>
      <c r="O49" s="2">
        <f t="shared" si="13"/>
        <v>0</v>
      </c>
      <c r="P49" s="2">
        <f t="shared" si="14"/>
        <v>0</v>
      </c>
      <c r="Q49" s="2">
        <f t="shared" si="15"/>
        <v>0</v>
      </c>
    </row>
    <row r="50" spans="1:17" x14ac:dyDescent="0.2">
      <c r="A50" s="2" t="s">
        <v>4</v>
      </c>
      <c r="B50" s="2" t="str">
        <f>'Group Matches'!D27</f>
        <v>Czechia</v>
      </c>
      <c r="C50" s="2" t="str">
        <f>'Group Matches'!E27</f>
        <v>South Africa</v>
      </c>
      <c r="D50" s="2">
        <f>IF(ISNUMBER('Group Matches'!F27),'Group Matches'!F27,0)</f>
        <v>2</v>
      </c>
      <c r="E50" s="2">
        <f>IF(ISNUMBER('Group Matches'!G27),'Group Matches'!G27,0)</f>
        <v>0</v>
      </c>
      <c r="F50" s="2">
        <f>IF(AND(ISNUMBER('Group Matches'!F27),ISNUMBER('Group Matches'!G27)),1,0)</f>
        <v>1</v>
      </c>
      <c r="G50" s="2">
        <f t="shared" si="8"/>
        <v>1</v>
      </c>
      <c r="H50" s="2">
        <f t="shared" si="9"/>
        <v>0</v>
      </c>
      <c r="I50" s="2">
        <f t="shared" si="10"/>
        <v>0</v>
      </c>
      <c r="J50" s="2">
        <f t="shared" si="11"/>
        <v>3</v>
      </c>
      <c r="K50" s="2">
        <f>IF(ISNUMBER('Group Matches'!J27),'Group Matches'!J27,0)</f>
        <v>0</v>
      </c>
      <c r="L50" s="2">
        <f>IF(ISNUMBER('Group Matches'!K27),'Group Matches'!K27,0)</f>
        <v>0</v>
      </c>
      <c r="M50" s="2">
        <f>IF(AND(ISNUMBER('Group Matches'!J27),ISNUMBER('Group Matches'!K27)),1,0)</f>
        <v>0</v>
      </c>
      <c r="N50" s="2">
        <f t="shared" si="12"/>
        <v>0</v>
      </c>
      <c r="O50" s="2">
        <f t="shared" si="13"/>
        <v>0</v>
      </c>
      <c r="P50" s="2">
        <f t="shared" si="14"/>
        <v>0</v>
      </c>
      <c r="Q50" s="2">
        <f t="shared" si="15"/>
        <v>0</v>
      </c>
    </row>
    <row r="51" spans="1:17" x14ac:dyDescent="0.2">
      <c r="A51" s="2" t="s">
        <v>4</v>
      </c>
      <c r="B51" s="2" t="str">
        <f>'Group Matches'!E27</f>
        <v>South Africa</v>
      </c>
      <c r="C51" s="2" t="str">
        <f>'Group Matches'!D27</f>
        <v>Czechia</v>
      </c>
      <c r="D51" s="2">
        <f>IF(ISNUMBER('Group Matches'!G27),'Group Matches'!G27,0)</f>
        <v>0</v>
      </c>
      <c r="E51" s="2">
        <f>IF(ISNUMBER('Group Matches'!F27),'Group Matches'!F27,0)</f>
        <v>2</v>
      </c>
      <c r="F51" s="2">
        <f>IF(AND(ISNUMBER('Group Matches'!G27),ISNUMBER('Group Matches'!F27)),1,0)</f>
        <v>1</v>
      </c>
      <c r="G51" s="2">
        <f t="shared" si="8"/>
        <v>0</v>
      </c>
      <c r="H51" s="2">
        <f t="shared" si="9"/>
        <v>0</v>
      </c>
      <c r="I51" s="2">
        <f t="shared" si="10"/>
        <v>1</v>
      </c>
      <c r="J51" s="2">
        <f t="shared" si="11"/>
        <v>0</v>
      </c>
      <c r="K51" s="2">
        <f>IF(ISNUMBER('Group Matches'!K27),'Group Matches'!K27,0)</f>
        <v>0</v>
      </c>
      <c r="L51" s="2">
        <f>IF(ISNUMBER('Group Matches'!J27),'Group Matches'!J27,0)</f>
        <v>0</v>
      </c>
      <c r="M51" s="2">
        <f>IF(AND(ISNUMBER('Group Matches'!K27),ISNUMBER('Group Matches'!J27)),1,0)</f>
        <v>0</v>
      </c>
      <c r="N51" s="2">
        <f t="shared" si="12"/>
        <v>0</v>
      </c>
      <c r="O51" s="2">
        <f t="shared" si="13"/>
        <v>0</v>
      </c>
      <c r="P51" s="2">
        <f t="shared" si="14"/>
        <v>0</v>
      </c>
      <c r="Q51" s="2">
        <f t="shared" si="15"/>
        <v>0</v>
      </c>
    </row>
    <row r="52" spans="1:17" x14ac:dyDescent="0.2">
      <c r="A52" s="2" t="s">
        <v>13</v>
      </c>
      <c r="B52" s="2" t="str">
        <f>'Group Matches'!D28</f>
        <v>Switzerland</v>
      </c>
      <c r="C52" s="2" t="str">
        <f>'Group Matches'!E28</f>
        <v>Bosnia &amp; Herzegovina</v>
      </c>
      <c r="D52" s="2">
        <f>IF(ISNUMBER('Group Matches'!F28),'Group Matches'!F28,0)</f>
        <v>1</v>
      </c>
      <c r="E52" s="2">
        <f>IF(ISNUMBER('Group Matches'!G28),'Group Matches'!G28,0)</f>
        <v>1</v>
      </c>
      <c r="F52" s="2">
        <f>IF(AND(ISNUMBER('Group Matches'!F28),ISNUMBER('Group Matches'!G28)),1,0)</f>
        <v>1</v>
      </c>
      <c r="G52" s="2">
        <f t="shared" si="8"/>
        <v>0</v>
      </c>
      <c r="H52" s="2">
        <f t="shared" si="9"/>
        <v>1</v>
      </c>
      <c r="I52" s="2">
        <f t="shared" si="10"/>
        <v>0</v>
      </c>
      <c r="J52" s="2">
        <f t="shared" si="11"/>
        <v>1</v>
      </c>
      <c r="K52" s="2">
        <f>IF(ISNUMBER('Group Matches'!J28),'Group Matches'!J28,0)</f>
        <v>0</v>
      </c>
      <c r="L52" s="2">
        <f>IF(ISNUMBER('Group Matches'!K28),'Group Matches'!K28,0)</f>
        <v>0</v>
      </c>
      <c r="M52" s="2">
        <f>IF(AND(ISNUMBER('Group Matches'!J28),ISNUMBER('Group Matches'!K28)),1,0)</f>
        <v>0</v>
      </c>
      <c r="N52" s="2">
        <f t="shared" si="12"/>
        <v>0</v>
      </c>
      <c r="O52" s="2">
        <f t="shared" si="13"/>
        <v>0</v>
      </c>
      <c r="P52" s="2">
        <f t="shared" si="14"/>
        <v>0</v>
      </c>
      <c r="Q52" s="2">
        <f t="shared" si="15"/>
        <v>0</v>
      </c>
    </row>
    <row r="53" spans="1:17" x14ac:dyDescent="0.2">
      <c r="A53" s="2" t="s">
        <v>13</v>
      </c>
      <c r="B53" s="2" t="str">
        <f>'Group Matches'!E28</f>
        <v>Bosnia &amp; Herzegovina</v>
      </c>
      <c r="C53" s="2" t="str">
        <f>'Group Matches'!D28</f>
        <v>Switzerland</v>
      </c>
      <c r="D53" s="2">
        <f>IF(ISNUMBER('Group Matches'!G28),'Group Matches'!G28,0)</f>
        <v>1</v>
      </c>
      <c r="E53" s="2">
        <f>IF(ISNUMBER('Group Matches'!F28),'Group Matches'!F28,0)</f>
        <v>1</v>
      </c>
      <c r="F53" s="2">
        <f>IF(AND(ISNUMBER('Group Matches'!G28),ISNUMBER('Group Matches'!F28)),1,0)</f>
        <v>1</v>
      </c>
      <c r="G53" s="2">
        <f t="shared" si="8"/>
        <v>0</v>
      </c>
      <c r="H53" s="2">
        <f t="shared" si="9"/>
        <v>1</v>
      </c>
      <c r="I53" s="2">
        <f t="shared" si="10"/>
        <v>0</v>
      </c>
      <c r="J53" s="2">
        <f t="shared" si="11"/>
        <v>1</v>
      </c>
      <c r="K53" s="2">
        <f>IF(ISNUMBER('Group Matches'!K28),'Group Matches'!K28,0)</f>
        <v>0</v>
      </c>
      <c r="L53" s="2">
        <f>IF(ISNUMBER('Group Matches'!J28),'Group Matches'!J28,0)</f>
        <v>0</v>
      </c>
      <c r="M53" s="2">
        <f>IF(AND(ISNUMBER('Group Matches'!K28),ISNUMBER('Group Matches'!J28)),1,0)</f>
        <v>0</v>
      </c>
      <c r="N53" s="2">
        <f t="shared" si="12"/>
        <v>0</v>
      </c>
      <c r="O53" s="2">
        <f t="shared" si="13"/>
        <v>0</v>
      </c>
      <c r="P53" s="2">
        <f t="shared" si="14"/>
        <v>0</v>
      </c>
      <c r="Q53" s="2">
        <f t="shared" si="15"/>
        <v>0</v>
      </c>
    </row>
    <row r="54" spans="1:17" x14ac:dyDescent="0.2">
      <c r="A54" s="2" t="s">
        <v>13</v>
      </c>
      <c r="B54" s="2" t="str">
        <f>'Group Matches'!D29</f>
        <v>Canada</v>
      </c>
      <c r="C54" s="2" t="str">
        <f>'Group Matches'!E29</f>
        <v>Qatar</v>
      </c>
      <c r="D54" s="2">
        <f>IF(ISNUMBER('Group Matches'!F29),'Group Matches'!F29,0)</f>
        <v>2</v>
      </c>
      <c r="E54" s="2">
        <f>IF(ISNUMBER('Group Matches'!G29),'Group Matches'!G29,0)</f>
        <v>0</v>
      </c>
      <c r="F54" s="2">
        <f>IF(AND(ISNUMBER('Group Matches'!F29),ISNUMBER('Group Matches'!G29)),1,0)</f>
        <v>1</v>
      </c>
      <c r="G54" s="2">
        <f t="shared" si="8"/>
        <v>1</v>
      </c>
      <c r="H54" s="2">
        <f t="shared" si="9"/>
        <v>0</v>
      </c>
      <c r="I54" s="2">
        <f t="shared" si="10"/>
        <v>0</v>
      </c>
      <c r="J54" s="2">
        <f t="shared" si="11"/>
        <v>3</v>
      </c>
      <c r="K54" s="2">
        <f>IF(ISNUMBER('Group Matches'!J29),'Group Matches'!J29,0)</f>
        <v>0</v>
      </c>
      <c r="L54" s="2">
        <f>IF(ISNUMBER('Group Matches'!K29),'Group Matches'!K29,0)</f>
        <v>0</v>
      </c>
      <c r="M54" s="2">
        <f>IF(AND(ISNUMBER('Group Matches'!J29),ISNUMBER('Group Matches'!K29)),1,0)</f>
        <v>0</v>
      </c>
      <c r="N54" s="2">
        <f t="shared" si="12"/>
        <v>0</v>
      </c>
      <c r="O54" s="2">
        <f t="shared" si="13"/>
        <v>0</v>
      </c>
      <c r="P54" s="2">
        <f t="shared" si="14"/>
        <v>0</v>
      </c>
      <c r="Q54" s="2">
        <f t="shared" si="15"/>
        <v>0</v>
      </c>
    </row>
    <row r="55" spans="1:17" x14ac:dyDescent="0.2">
      <c r="A55" s="2" t="s">
        <v>13</v>
      </c>
      <c r="B55" s="2" t="str">
        <f>'Group Matches'!E29</f>
        <v>Qatar</v>
      </c>
      <c r="C55" s="2" t="str">
        <f>'Group Matches'!D29</f>
        <v>Canada</v>
      </c>
      <c r="D55" s="2">
        <f>IF(ISNUMBER('Group Matches'!G29),'Group Matches'!G29,0)</f>
        <v>0</v>
      </c>
      <c r="E55" s="2">
        <f>IF(ISNUMBER('Group Matches'!F29),'Group Matches'!F29,0)</f>
        <v>2</v>
      </c>
      <c r="F55" s="2">
        <f>IF(AND(ISNUMBER('Group Matches'!G29),ISNUMBER('Group Matches'!F29)),1,0)</f>
        <v>1</v>
      </c>
      <c r="G55" s="2">
        <f t="shared" si="8"/>
        <v>0</v>
      </c>
      <c r="H55" s="2">
        <f t="shared" si="9"/>
        <v>0</v>
      </c>
      <c r="I55" s="2">
        <f t="shared" si="10"/>
        <v>1</v>
      </c>
      <c r="J55" s="2">
        <f t="shared" si="11"/>
        <v>0</v>
      </c>
      <c r="K55" s="2">
        <f>IF(ISNUMBER('Group Matches'!K29),'Group Matches'!K29,0)</f>
        <v>0</v>
      </c>
      <c r="L55" s="2">
        <f>IF(ISNUMBER('Group Matches'!J29),'Group Matches'!J29,0)</f>
        <v>0</v>
      </c>
      <c r="M55" s="2">
        <f>IF(AND(ISNUMBER('Group Matches'!K29),ISNUMBER('Group Matches'!J29)),1,0)</f>
        <v>0</v>
      </c>
      <c r="N55" s="2">
        <f t="shared" si="12"/>
        <v>0</v>
      </c>
      <c r="O55" s="2">
        <f t="shared" si="13"/>
        <v>0</v>
      </c>
      <c r="P55" s="2">
        <f t="shared" si="14"/>
        <v>0</v>
      </c>
      <c r="Q55" s="2">
        <f t="shared" si="15"/>
        <v>0</v>
      </c>
    </row>
    <row r="56" spans="1:17" x14ac:dyDescent="0.2">
      <c r="A56" s="2" t="s">
        <v>4</v>
      </c>
      <c r="B56" s="2" t="str">
        <f>'Group Matches'!D30</f>
        <v>Mexico</v>
      </c>
      <c r="C56" s="2" t="str">
        <f>'Group Matches'!E30</f>
        <v>South Korea</v>
      </c>
      <c r="D56" s="2">
        <f>IF(ISNUMBER('Group Matches'!F30),'Group Matches'!F30,0)</f>
        <v>0</v>
      </c>
      <c r="E56" s="2">
        <f>IF(ISNUMBER('Group Matches'!G30),'Group Matches'!G30,0)</f>
        <v>1</v>
      </c>
      <c r="F56" s="2">
        <f>IF(AND(ISNUMBER('Group Matches'!F30),ISNUMBER('Group Matches'!G30)),1,0)</f>
        <v>1</v>
      </c>
      <c r="G56" s="2">
        <f t="shared" si="8"/>
        <v>0</v>
      </c>
      <c r="H56" s="2">
        <f t="shared" si="9"/>
        <v>0</v>
      </c>
      <c r="I56" s="2">
        <f t="shared" si="10"/>
        <v>1</v>
      </c>
      <c r="J56" s="2">
        <f t="shared" si="11"/>
        <v>0</v>
      </c>
      <c r="K56" s="2">
        <f>IF(ISNUMBER('Group Matches'!J30),'Group Matches'!J30,0)</f>
        <v>0</v>
      </c>
      <c r="L56" s="2">
        <f>IF(ISNUMBER('Group Matches'!K30),'Group Matches'!K30,0)</f>
        <v>0</v>
      </c>
      <c r="M56" s="2">
        <f>IF(AND(ISNUMBER('Group Matches'!J30),ISNUMBER('Group Matches'!K30)),1,0)</f>
        <v>0</v>
      </c>
      <c r="N56" s="2">
        <f t="shared" si="12"/>
        <v>0</v>
      </c>
      <c r="O56" s="2">
        <f t="shared" si="13"/>
        <v>0</v>
      </c>
      <c r="P56" s="2">
        <f t="shared" si="14"/>
        <v>0</v>
      </c>
      <c r="Q56" s="2">
        <f t="shared" si="15"/>
        <v>0</v>
      </c>
    </row>
    <row r="57" spans="1:17" x14ac:dyDescent="0.2">
      <c r="A57" s="2" t="s">
        <v>4</v>
      </c>
      <c r="B57" s="2" t="str">
        <f>'Group Matches'!E30</f>
        <v>South Korea</v>
      </c>
      <c r="C57" s="2" t="str">
        <f>'Group Matches'!D30</f>
        <v>Mexico</v>
      </c>
      <c r="D57" s="2">
        <f>IF(ISNUMBER('Group Matches'!G30),'Group Matches'!G30,0)</f>
        <v>1</v>
      </c>
      <c r="E57" s="2">
        <f>IF(ISNUMBER('Group Matches'!F30),'Group Matches'!F30,0)</f>
        <v>0</v>
      </c>
      <c r="F57" s="2">
        <f>IF(AND(ISNUMBER('Group Matches'!G30),ISNUMBER('Group Matches'!F30)),1,0)</f>
        <v>1</v>
      </c>
      <c r="G57" s="2">
        <f t="shared" si="8"/>
        <v>1</v>
      </c>
      <c r="H57" s="2">
        <f t="shared" si="9"/>
        <v>0</v>
      </c>
      <c r="I57" s="2">
        <f t="shared" si="10"/>
        <v>0</v>
      </c>
      <c r="J57" s="2">
        <f t="shared" si="11"/>
        <v>3</v>
      </c>
      <c r="K57" s="2">
        <f>IF(ISNUMBER('Group Matches'!K30),'Group Matches'!K30,0)</f>
        <v>0</v>
      </c>
      <c r="L57" s="2">
        <f>IF(ISNUMBER('Group Matches'!J30),'Group Matches'!J30,0)</f>
        <v>0</v>
      </c>
      <c r="M57" s="2">
        <f>IF(AND(ISNUMBER('Group Matches'!K30),ISNUMBER('Group Matches'!J30)),1,0)</f>
        <v>0</v>
      </c>
      <c r="N57" s="2">
        <f t="shared" si="12"/>
        <v>0</v>
      </c>
      <c r="O57" s="2">
        <f t="shared" si="13"/>
        <v>0</v>
      </c>
      <c r="P57" s="2">
        <f t="shared" si="14"/>
        <v>0</v>
      </c>
      <c r="Q57" s="2">
        <f t="shared" si="15"/>
        <v>0</v>
      </c>
    </row>
    <row r="58" spans="1:17" x14ac:dyDescent="0.2">
      <c r="A58" s="2" t="s">
        <v>25</v>
      </c>
      <c r="B58" s="2" t="str">
        <f>'Group Matches'!D31</f>
        <v>United States</v>
      </c>
      <c r="C58" s="2" t="str">
        <f>'Group Matches'!E31</f>
        <v>Australia</v>
      </c>
      <c r="D58" s="2">
        <f>IF(ISNUMBER('Group Matches'!F31),'Group Matches'!F31,0)</f>
        <v>2</v>
      </c>
      <c r="E58" s="2">
        <f>IF(ISNUMBER('Group Matches'!G31),'Group Matches'!G31,0)</f>
        <v>0</v>
      </c>
      <c r="F58" s="2">
        <f>IF(AND(ISNUMBER('Group Matches'!F31),ISNUMBER('Group Matches'!G31)),1,0)</f>
        <v>1</v>
      </c>
      <c r="G58" s="2">
        <f t="shared" si="8"/>
        <v>1</v>
      </c>
      <c r="H58" s="2">
        <f t="shared" si="9"/>
        <v>0</v>
      </c>
      <c r="I58" s="2">
        <f t="shared" si="10"/>
        <v>0</v>
      </c>
      <c r="J58" s="2">
        <f t="shared" si="11"/>
        <v>3</v>
      </c>
      <c r="K58" s="2">
        <f>IF(ISNUMBER('Group Matches'!J31),'Group Matches'!J31,0)</f>
        <v>0</v>
      </c>
      <c r="L58" s="2">
        <f>IF(ISNUMBER('Group Matches'!K31),'Group Matches'!K31,0)</f>
        <v>0</v>
      </c>
      <c r="M58" s="2">
        <f>IF(AND(ISNUMBER('Group Matches'!J31),ISNUMBER('Group Matches'!K31)),1,0)</f>
        <v>0</v>
      </c>
      <c r="N58" s="2">
        <f t="shared" si="12"/>
        <v>0</v>
      </c>
      <c r="O58" s="2">
        <f t="shared" si="13"/>
        <v>0</v>
      </c>
      <c r="P58" s="2">
        <f t="shared" si="14"/>
        <v>0</v>
      </c>
      <c r="Q58" s="2">
        <f t="shared" si="15"/>
        <v>0</v>
      </c>
    </row>
    <row r="59" spans="1:17" x14ac:dyDescent="0.2">
      <c r="A59" s="2" t="s">
        <v>25</v>
      </c>
      <c r="B59" s="2" t="str">
        <f>'Group Matches'!E31</f>
        <v>Australia</v>
      </c>
      <c r="C59" s="2" t="str">
        <f>'Group Matches'!D31</f>
        <v>United States</v>
      </c>
      <c r="D59" s="2">
        <f>IF(ISNUMBER('Group Matches'!G31),'Group Matches'!G31,0)</f>
        <v>0</v>
      </c>
      <c r="E59" s="2">
        <f>IF(ISNUMBER('Group Matches'!F31),'Group Matches'!F31,0)</f>
        <v>2</v>
      </c>
      <c r="F59" s="2">
        <f>IF(AND(ISNUMBER('Group Matches'!G31),ISNUMBER('Group Matches'!F31)),1,0)</f>
        <v>1</v>
      </c>
      <c r="G59" s="2">
        <f t="shared" si="8"/>
        <v>0</v>
      </c>
      <c r="H59" s="2">
        <f t="shared" si="9"/>
        <v>0</v>
      </c>
      <c r="I59" s="2">
        <f t="shared" si="10"/>
        <v>1</v>
      </c>
      <c r="J59" s="2">
        <f t="shared" si="11"/>
        <v>0</v>
      </c>
      <c r="K59" s="2">
        <f>IF(ISNUMBER('Group Matches'!K31),'Group Matches'!K31,0)</f>
        <v>0</v>
      </c>
      <c r="L59" s="2">
        <f>IF(ISNUMBER('Group Matches'!J31),'Group Matches'!J31,0)</f>
        <v>0</v>
      </c>
      <c r="M59" s="2">
        <f>IF(AND(ISNUMBER('Group Matches'!K31),ISNUMBER('Group Matches'!J31)),1,0)</f>
        <v>0</v>
      </c>
      <c r="N59" s="2">
        <f t="shared" si="12"/>
        <v>0</v>
      </c>
      <c r="O59" s="2">
        <f t="shared" si="13"/>
        <v>0</v>
      </c>
      <c r="P59" s="2">
        <f t="shared" si="14"/>
        <v>0</v>
      </c>
      <c r="Q59" s="2">
        <f t="shared" si="15"/>
        <v>0</v>
      </c>
    </row>
    <row r="60" spans="1:17" x14ac:dyDescent="0.2">
      <c r="A60" s="2" t="s">
        <v>18</v>
      </c>
      <c r="B60" s="2" t="str">
        <f>'Group Matches'!D32</f>
        <v>Scotland</v>
      </c>
      <c r="C60" s="2" t="str">
        <f>'Group Matches'!E32</f>
        <v>Morocco</v>
      </c>
      <c r="D60" s="2">
        <f>IF(ISNUMBER('Group Matches'!F32),'Group Matches'!F32,0)</f>
        <v>1</v>
      </c>
      <c r="E60" s="2">
        <f>IF(ISNUMBER('Group Matches'!G32),'Group Matches'!G32,0)</f>
        <v>2</v>
      </c>
      <c r="F60" s="2">
        <f>IF(AND(ISNUMBER('Group Matches'!F32),ISNUMBER('Group Matches'!G32)),1,0)</f>
        <v>1</v>
      </c>
      <c r="G60" s="2">
        <f t="shared" si="8"/>
        <v>0</v>
      </c>
      <c r="H60" s="2">
        <f t="shared" si="9"/>
        <v>0</v>
      </c>
      <c r="I60" s="2">
        <f t="shared" si="10"/>
        <v>1</v>
      </c>
      <c r="J60" s="2">
        <f t="shared" si="11"/>
        <v>0</v>
      </c>
      <c r="K60" s="2">
        <f>IF(ISNUMBER('Group Matches'!J32),'Group Matches'!J32,0)</f>
        <v>0</v>
      </c>
      <c r="L60" s="2">
        <f>IF(ISNUMBER('Group Matches'!K32),'Group Matches'!K32,0)</f>
        <v>0</v>
      </c>
      <c r="M60" s="2">
        <f>IF(AND(ISNUMBER('Group Matches'!J32),ISNUMBER('Group Matches'!K32)),1,0)</f>
        <v>0</v>
      </c>
      <c r="N60" s="2">
        <f t="shared" si="12"/>
        <v>0</v>
      </c>
      <c r="O60" s="2">
        <f t="shared" si="13"/>
        <v>0</v>
      </c>
      <c r="P60" s="2">
        <f t="shared" si="14"/>
        <v>0</v>
      </c>
      <c r="Q60" s="2">
        <f t="shared" si="15"/>
        <v>0</v>
      </c>
    </row>
    <row r="61" spans="1:17" x14ac:dyDescent="0.2">
      <c r="A61" s="2" t="s">
        <v>18</v>
      </c>
      <c r="B61" s="2" t="str">
        <f>'Group Matches'!E32</f>
        <v>Morocco</v>
      </c>
      <c r="C61" s="2" t="str">
        <f>'Group Matches'!D32</f>
        <v>Scotland</v>
      </c>
      <c r="D61" s="2">
        <f>IF(ISNUMBER('Group Matches'!G32),'Group Matches'!G32,0)</f>
        <v>2</v>
      </c>
      <c r="E61" s="2">
        <f>IF(ISNUMBER('Group Matches'!F32),'Group Matches'!F32,0)</f>
        <v>1</v>
      </c>
      <c r="F61" s="2">
        <f>IF(AND(ISNUMBER('Group Matches'!G32),ISNUMBER('Group Matches'!F32)),1,0)</f>
        <v>1</v>
      </c>
      <c r="G61" s="2">
        <f t="shared" si="8"/>
        <v>1</v>
      </c>
      <c r="H61" s="2">
        <f t="shared" si="9"/>
        <v>0</v>
      </c>
      <c r="I61" s="2">
        <f t="shared" si="10"/>
        <v>0</v>
      </c>
      <c r="J61" s="2">
        <f t="shared" si="11"/>
        <v>3</v>
      </c>
      <c r="K61" s="2">
        <f>IF(ISNUMBER('Group Matches'!K32),'Group Matches'!K32,0)</f>
        <v>0</v>
      </c>
      <c r="L61" s="2">
        <f>IF(ISNUMBER('Group Matches'!J32),'Group Matches'!J32,0)</f>
        <v>0</v>
      </c>
      <c r="M61" s="2">
        <f>IF(AND(ISNUMBER('Group Matches'!K32),ISNUMBER('Group Matches'!J32)),1,0)</f>
        <v>0</v>
      </c>
      <c r="N61" s="2">
        <f t="shared" si="12"/>
        <v>0</v>
      </c>
      <c r="O61" s="2">
        <f t="shared" si="13"/>
        <v>0</v>
      </c>
      <c r="P61" s="2">
        <f t="shared" si="14"/>
        <v>0</v>
      </c>
      <c r="Q61" s="2">
        <f t="shared" si="15"/>
        <v>0</v>
      </c>
    </row>
    <row r="62" spans="1:17" x14ac:dyDescent="0.2">
      <c r="A62" s="2" t="s">
        <v>18</v>
      </c>
      <c r="B62" s="2" t="str">
        <f>'Group Matches'!D33</f>
        <v>Brazil</v>
      </c>
      <c r="C62" s="2" t="str">
        <f>'Group Matches'!E33</f>
        <v>Haiti</v>
      </c>
      <c r="D62" s="2">
        <f>IF(ISNUMBER('Group Matches'!F33),'Group Matches'!F33,0)</f>
        <v>3</v>
      </c>
      <c r="E62" s="2">
        <f>IF(ISNUMBER('Group Matches'!G33),'Group Matches'!G33,0)</f>
        <v>0</v>
      </c>
      <c r="F62" s="2">
        <f>IF(AND(ISNUMBER('Group Matches'!F33),ISNUMBER('Group Matches'!G33)),1,0)</f>
        <v>1</v>
      </c>
      <c r="G62" s="2">
        <f t="shared" si="8"/>
        <v>1</v>
      </c>
      <c r="H62" s="2">
        <f t="shared" si="9"/>
        <v>0</v>
      </c>
      <c r="I62" s="2">
        <f t="shared" si="10"/>
        <v>0</v>
      </c>
      <c r="J62" s="2">
        <f t="shared" si="11"/>
        <v>3</v>
      </c>
      <c r="K62" s="2">
        <f>IF(ISNUMBER('Group Matches'!J33),'Group Matches'!J33,0)</f>
        <v>0</v>
      </c>
      <c r="L62" s="2">
        <f>IF(ISNUMBER('Group Matches'!K33),'Group Matches'!K33,0)</f>
        <v>0</v>
      </c>
      <c r="M62" s="2">
        <f>IF(AND(ISNUMBER('Group Matches'!J33),ISNUMBER('Group Matches'!K33)),1,0)</f>
        <v>0</v>
      </c>
      <c r="N62" s="2">
        <f t="shared" si="12"/>
        <v>0</v>
      </c>
      <c r="O62" s="2">
        <f t="shared" si="13"/>
        <v>0</v>
      </c>
      <c r="P62" s="2">
        <f t="shared" si="14"/>
        <v>0</v>
      </c>
      <c r="Q62" s="2">
        <f t="shared" si="15"/>
        <v>0</v>
      </c>
    </row>
    <row r="63" spans="1:17" x14ac:dyDescent="0.2">
      <c r="A63" s="2" t="s">
        <v>18</v>
      </c>
      <c r="B63" s="2" t="str">
        <f>'Group Matches'!E33</f>
        <v>Haiti</v>
      </c>
      <c r="C63" s="2" t="str">
        <f>'Group Matches'!D33</f>
        <v>Brazil</v>
      </c>
      <c r="D63" s="2">
        <f>IF(ISNUMBER('Group Matches'!G33),'Group Matches'!G33,0)</f>
        <v>0</v>
      </c>
      <c r="E63" s="2">
        <f>IF(ISNUMBER('Group Matches'!F33),'Group Matches'!F33,0)</f>
        <v>3</v>
      </c>
      <c r="F63" s="2">
        <f>IF(AND(ISNUMBER('Group Matches'!G33),ISNUMBER('Group Matches'!F33)),1,0)</f>
        <v>1</v>
      </c>
      <c r="G63" s="2">
        <f t="shared" si="8"/>
        <v>0</v>
      </c>
      <c r="H63" s="2">
        <f t="shared" si="9"/>
        <v>0</v>
      </c>
      <c r="I63" s="2">
        <f t="shared" si="10"/>
        <v>1</v>
      </c>
      <c r="J63" s="2">
        <f t="shared" si="11"/>
        <v>0</v>
      </c>
      <c r="K63" s="2">
        <f>IF(ISNUMBER('Group Matches'!K33),'Group Matches'!K33,0)</f>
        <v>0</v>
      </c>
      <c r="L63" s="2">
        <f>IF(ISNUMBER('Group Matches'!J33),'Group Matches'!J33,0)</f>
        <v>0</v>
      </c>
      <c r="M63" s="2">
        <f>IF(AND(ISNUMBER('Group Matches'!K33),ISNUMBER('Group Matches'!J33)),1,0)</f>
        <v>0</v>
      </c>
      <c r="N63" s="2">
        <f t="shared" si="12"/>
        <v>0</v>
      </c>
      <c r="O63" s="2">
        <f t="shared" si="13"/>
        <v>0</v>
      </c>
      <c r="P63" s="2">
        <f t="shared" si="14"/>
        <v>0</v>
      </c>
      <c r="Q63" s="2">
        <f t="shared" si="15"/>
        <v>0</v>
      </c>
    </row>
    <row r="64" spans="1:17" x14ac:dyDescent="0.2">
      <c r="A64" s="2" t="s">
        <v>25</v>
      </c>
      <c r="B64" s="2" t="str">
        <f>'Group Matches'!D34</f>
        <v>Türkiye</v>
      </c>
      <c r="C64" s="2" t="str">
        <f>'Group Matches'!E34</f>
        <v>Paraguay</v>
      </c>
      <c r="D64" s="2">
        <f>IF(ISNUMBER('Group Matches'!F34),'Group Matches'!F34,0)</f>
        <v>2</v>
      </c>
      <c r="E64" s="2">
        <f>IF(ISNUMBER('Group Matches'!G34),'Group Matches'!G34,0)</f>
        <v>0</v>
      </c>
      <c r="F64" s="2">
        <f>IF(AND(ISNUMBER('Group Matches'!F34),ISNUMBER('Group Matches'!G34)),1,0)</f>
        <v>1</v>
      </c>
      <c r="G64" s="2">
        <f t="shared" si="8"/>
        <v>1</v>
      </c>
      <c r="H64" s="2">
        <f t="shared" si="9"/>
        <v>0</v>
      </c>
      <c r="I64" s="2">
        <f t="shared" si="10"/>
        <v>0</v>
      </c>
      <c r="J64" s="2">
        <f t="shared" si="11"/>
        <v>3</v>
      </c>
      <c r="K64" s="2">
        <f>IF(ISNUMBER('Group Matches'!J34),'Group Matches'!J34,0)</f>
        <v>0</v>
      </c>
      <c r="L64" s="2">
        <f>IF(ISNUMBER('Group Matches'!K34),'Group Matches'!K34,0)</f>
        <v>0</v>
      </c>
      <c r="M64" s="2">
        <f>IF(AND(ISNUMBER('Group Matches'!J34),ISNUMBER('Group Matches'!K34)),1,0)</f>
        <v>0</v>
      </c>
      <c r="N64" s="2">
        <f t="shared" si="12"/>
        <v>0</v>
      </c>
      <c r="O64" s="2">
        <f t="shared" si="13"/>
        <v>0</v>
      </c>
      <c r="P64" s="2">
        <f t="shared" si="14"/>
        <v>0</v>
      </c>
      <c r="Q64" s="2">
        <f t="shared" si="15"/>
        <v>0</v>
      </c>
    </row>
    <row r="65" spans="1:17" x14ac:dyDescent="0.2">
      <c r="A65" s="2" t="s">
        <v>25</v>
      </c>
      <c r="B65" s="2" t="str">
        <f>'Group Matches'!E34</f>
        <v>Paraguay</v>
      </c>
      <c r="C65" s="2" t="str">
        <f>'Group Matches'!D34</f>
        <v>Türkiye</v>
      </c>
      <c r="D65" s="2">
        <f>IF(ISNUMBER('Group Matches'!G34),'Group Matches'!G34,0)</f>
        <v>0</v>
      </c>
      <c r="E65" s="2">
        <f>IF(ISNUMBER('Group Matches'!F34),'Group Matches'!F34,0)</f>
        <v>2</v>
      </c>
      <c r="F65" s="2">
        <f>IF(AND(ISNUMBER('Group Matches'!G34),ISNUMBER('Group Matches'!F34)),1,0)</f>
        <v>1</v>
      </c>
      <c r="G65" s="2">
        <f t="shared" si="8"/>
        <v>0</v>
      </c>
      <c r="H65" s="2">
        <f t="shared" si="9"/>
        <v>0</v>
      </c>
      <c r="I65" s="2">
        <f t="shared" si="10"/>
        <v>1</v>
      </c>
      <c r="J65" s="2">
        <f t="shared" si="11"/>
        <v>0</v>
      </c>
      <c r="K65" s="2">
        <f>IF(ISNUMBER('Group Matches'!K34),'Group Matches'!K34,0)</f>
        <v>0</v>
      </c>
      <c r="L65" s="2">
        <f>IF(ISNUMBER('Group Matches'!J34),'Group Matches'!J34,0)</f>
        <v>0</v>
      </c>
      <c r="M65" s="2">
        <f>IF(AND(ISNUMBER('Group Matches'!K34),ISNUMBER('Group Matches'!J34)),1,0)</f>
        <v>0</v>
      </c>
      <c r="N65" s="2">
        <f t="shared" si="12"/>
        <v>0</v>
      </c>
      <c r="O65" s="2">
        <f t="shared" si="13"/>
        <v>0</v>
      </c>
      <c r="P65" s="2">
        <f t="shared" si="14"/>
        <v>0</v>
      </c>
      <c r="Q65" s="2">
        <f t="shared" si="15"/>
        <v>0</v>
      </c>
    </row>
    <row r="66" spans="1:17" x14ac:dyDescent="0.2">
      <c r="A66" s="2" t="s">
        <v>35</v>
      </c>
      <c r="B66" s="2" t="str">
        <f>'Group Matches'!D35</f>
        <v>Netherlands</v>
      </c>
      <c r="C66" s="2" t="str">
        <f>'Group Matches'!E35</f>
        <v>Sweden</v>
      </c>
      <c r="D66" s="2">
        <f>IF(ISNUMBER('Group Matches'!F35),'Group Matches'!F35,0)</f>
        <v>2</v>
      </c>
      <c r="E66" s="2">
        <f>IF(ISNUMBER('Group Matches'!G35),'Group Matches'!G35,0)</f>
        <v>1</v>
      </c>
      <c r="F66" s="2">
        <f>IF(AND(ISNUMBER('Group Matches'!F35),ISNUMBER('Group Matches'!G35)),1,0)</f>
        <v>1</v>
      </c>
      <c r="G66" s="2">
        <f t="shared" ref="G66:G97" si="16">IF(AND(F66=1,D66&gt;E66),1,0)</f>
        <v>1</v>
      </c>
      <c r="H66" s="2">
        <f t="shared" ref="H66:H97" si="17">IF(AND(F66=1,D66=E66),1,0)</f>
        <v>0</v>
      </c>
      <c r="I66" s="2">
        <f t="shared" ref="I66:I97" si="18">IF(AND(F66=1,D66&lt;E66),1,0)</f>
        <v>0</v>
      </c>
      <c r="J66" s="2">
        <f t="shared" ref="J66:J97" si="19">3*G66+H66</f>
        <v>3</v>
      </c>
      <c r="K66" s="2">
        <f>IF(ISNUMBER('Group Matches'!J35),'Group Matches'!J35,0)</f>
        <v>0</v>
      </c>
      <c r="L66" s="2">
        <f>IF(ISNUMBER('Group Matches'!K35),'Group Matches'!K35,0)</f>
        <v>0</v>
      </c>
      <c r="M66" s="2">
        <f>IF(AND(ISNUMBER('Group Matches'!J35),ISNUMBER('Group Matches'!K35)),1,0)</f>
        <v>0</v>
      </c>
      <c r="N66" s="2">
        <f t="shared" ref="N66:N97" si="20">IF(AND(M66=1,K66&gt;L66),1,0)</f>
        <v>0</v>
      </c>
      <c r="O66" s="2">
        <f t="shared" ref="O66:O97" si="21">IF(AND(M66=1,K66=L66),1,0)</f>
        <v>0</v>
      </c>
      <c r="P66" s="2">
        <f t="shared" ref="P66:P97" si="22">IF(AND(M66=1,K66&lt;L66),1,0)</f>
        <v>0</v>
      </c>
      <c r="Q66" s="2">
        <f t="shared" ref="Q66:Q97" si="23">3*N66+O66</f>
        <v>0</v>
      </c>
    </row>
    <row r="67" spans="1:17" x14ac:dyDescent="0.2">
      <c r="A67" s="2" t="s">
        <v>35</v>
      </c>
      <c r="B67" s="2" t="str">
        <f>'Group Matches'!E35</f>
        <v>Sweden</v>
      </c>
      <c r="C67" s="2" t="str">
        <f>'Group Matches'!D35</f>
        <v>Netherlands</v>
      </c>
      <c r="D67" s="2">
        <f>IF(ISNUMBER('Group Matches'!G35),'Group Matches'!G35,0)</f>
        <v>1</v>
      </c>
      <c r="E67" s="2">
        <f>IF(ISNUMBER('Group Matches'!F35),'Group Matches'!F35,0)</f>
        <v>2</v>
      </c>
      <c r="F67" s="2">
        <f>IF(AND(ISNUMBER('Group Matches'!G35),ISNUMBER('Group Matches'!F35)),1,0)</f>
        <v>1</v>
      </c>
      <c r="G67" s="2">
        <f t="shared" si="16"/>
        <v>0</v>
      </c>
      <c r="H67" s="2">
        <f t="shared" si="17"/>
        <v>0</v>
      </c>
      <c r="I67" s="2">
        <f t="shared" si="18"/>
        <v>1</v>
      </c>
      <c r="J67" s="2">
        <f t="shared" si="19"/>
        <v>0</v>
      </c>
      <c r="K67" s="2">
        <f>IF(ISNUMBER('Group Matches'!K35),'Group Matches'!K35,0)</f>
        <v>0</v>
      </c>
      <c r="L67" s="2">
        <f>IF(ISNUMBER('Group Matches'!J35),'Group Matches'!J35,0)</f>
        <v>0</v>
      </c>
      <c r="M67" s="2">
        <f>IF(AND(ISNUMBER('Group Matches'!K35),ISNUMBER('Group Matches'!J35)),1,0)</f>
        <v>0</v>
      </c>
      <c r="N67" s="2">
        <f t="shared" si="20"/>
        <v>0</v>
      </c>
      <c r="O67" s="2">
        <f t="shared" si="21"/>
        <v>0</v>
      </c>
      <c r="P67" s="2">
        <f t="shared" si="22"/>
        <v>0</v>
      </c>
      <c r="Q67" s="2">
        <f t="shared" si="23"/>
        <v>0</v>
      </c>
    </row>
    <row r="68" spans="1:17" x14ac:dyDescent="0.2">
      <c r="A68" s="2" t="s">
        <v>30</v>
      </c>
      <c r="B68" s="2" t="str">
        <f>'Group Matches'!D36</f>
        <v>Germany</v>
      </c>
      <c r="C68" s="2" t="str">
        <f>'Group Matches'!E36</f>
        <v>Côte d'Ivoire</v>
      </c>
      <c r="D68" s="2">
        <f>IF(ISNUMBER('Group Matches'!F36),'Group Matches'!F36,0)</f>
        <v>1</v>
      </c>
      <c r="E68" s="2">
        <f>IF(ISNUMBER('Group Matches'!G36),'Group Matches'!G36,0)</f>
        <v>0</v>
      </c>
      <c r="F68" s="2">
        <f>IF(AND(ISNUMBER('Group Matches'!F36),ISNUMBER('Group Matches'!G36)),1,0)</f>
        <v>1</v>
      </c>
      <c r="G68" s="2">
        <f t="shared" si="16"/>
        <v>1</v>
      </c>
      <c r="H68" s="2">
        <f t="shared" si="17"/>
        <v>0</v>
      </c>
      <c r="I68" s="2">
        <f t="shared" si="18"/>
        <v>0</v>
      </c>
      <c r="J68" s="2">
        <f t="shared" si="19"/>
        <v>3</v>
      </c>
      <c r="K68" s="2">
        <f>IF(ISNUMBER('Group Matches'!J36),'Group Matches'!J36,0)</f>
        <v>0</v>
      </c>
      <c r="L68" s="2">
        <f>IF(ISNUMBER('Group Matches'!K36),'Group Matches'!K36,0)</f>
        <v>0</v>
      </c>
      <c r="M68" s="2">
        <f>IF(AND(ISNUMBER('Group Matches'!J36),ISNUMBER('Group Matches'!K36)),1,0)</f>
        <v>0</v>
      </c>
      <c r="N68" s="2">
        <f t="shared" si="20"/>
        <v>0</v>
      </c>
      <c r="O68" s="2">
        <f t="shared" si="21"/>
        <v>0</v>
      </c>
      <c r="P68" s="2">
        <f t="shared" si="22"/>
        <v>0</v>
      </c>
      <c r="Q68" s="2">
        <f t="shared" si="23"/>
        <v>0</v>
      </c>
    </row>
    <row r="69" spans="1:17" x14ac:dyDescent="0.2">
      <c r="A69" s="2" t="s">
        <v>30</v>
      </c>
      <c r="B69" s="2" t="str">
        <f>'Group Matches'!E36</f>
        <v>Côte d'Ivoire</v>
      </c>
      <c r="C69" s="2" t="str">
        <f>'Group Matches'!D36</f>
        <v>Germany</v>
      </c>
      <c r="D69" s="2">
        <f>IF(ISNUMBER('Group Matches'!G36),'Group Matches'!G36,0)</f>
        <v>0</v>
      </c>
      <c r="E69" s="2">
        <f>IF(ISNUMBER('Group Matches'!F36),'Group Matches'!F36,0)</f>
        <v>1</v>
      </c>
      <c r="F69" s="2">
        <f>IF(AND(ISNUMBER('Group Matches'!G36),ISNUMBER('Group Matches'!F36)),1,0)</f>
        <v>1</v>
      </c>
      <c r="G69" s="2">
        <f t="shared" si="16"/>
        <v>0</v>
      </c>
      <c r="H69" s="2">
        <f t="shared" si="17"/>
        <v>0</v>
      </c>
      <c r="I69" s="2">
        <f t="shared" si="18"/>
        <v>1</v>
      </c>
      <c r="J69" s="2">
        <f t="shared" si="19"/>
        <v>0</v>
      </c>
      <c r="K69" s="2">
        <f>IF(ISNUMBER('Group Matches'!K36),'Group Matches'!K36,0)</f>
        <v>0</v>
      </c>
      <c r="L69" s="2">
        <f>IF(ISNUMBER('Group Matches'!J36),'Group Matches'!J36,0)</f>
        <v>0</v>
      </c>
      <c r="M69" s="2">
        <f>IF(AND(ISNUMBER('Group Matches'!K36),ISNUMBER('Group Matches'!J36)),1,0)</f>
        <v>0</v>
      </c>
      <c r="N69" s="2">
        <f t="shared" si="20"/>
        <v>0</v>
      </c>
      <c r="O69" s="2">
        <f t="shared" si="21"/>
        <v>0</v>
      </c>
      <c r="P69" s="2">
        <f t="shared" si="22"/>
        <v>0</v>
      </c>
      <c r="Q69" s="2">
        <f t="shared" si="23"/>
        <v>0</v>
      </c>
    </row>
    <row r="70" spans="1:17" x14ac:dyDescent="0.2">
      <c r="A70" s="2" t="s">
        <v>30</v>
      </c>
      <c r="B70" s="2" t="str">
        <f>'Group Matches'!D37</f>
        <v>Ecuador</v>
      </c>
      <c r="C70" s="2" t="str">
        <f>'Group Matches'!E37</f>
        <v>Curaçao</v>
      </c>
      <c r="D70" s="2">
        <f>IF(ISNUMBER('Group Matches'!F37),'Group Matches'!F37,0)</f>
        <v>2</v>
      </c>
      <c r="E70" s="2">
        <f>IF(ISNUMBER('Group Matches'!G37),'Group Matches'!G37,0)</f>
        <v>0</v>
      </c>
      <c r="F70" s="2">
        <f>IF(AND(ISNUMBER('Group Matches'!F37),ISNUMBER('Group Matches'!G37)),1,0)</f>
        <v>1</v>
      </c>
      <c r="G70" s="2">
        <f t="shared" si="16"/>
        <v>1</v>
      </c>
      <c r="H70" s="2">
        <f t="shared" si="17"/>
        <v>0</v>
      </c>
      <c r="I70" s="2">
        <f t="shared" si="18"/>
        <v>0</v>
      </c>
      <c r="J70" s="2">
        <f t="shared" si="19"/>
        <v>3</v>
      </c>
      <c r="K70" s="2">
        <f>IF(ISNUMBER('Group Matches'!J37),'Group Matches'!J37,0)</f>
        <v>0</v>
      </c>
      <c r="L70" s="2">
        <f>IF(ISNUMBER('Group Matches'!K37),'Group Matches'!K37,0)</f>
        <v>0</v>
      </c>
      <c r="M70" s="2">
        <f>IF(AND(ISNUMBER('Group Matches'!J37),ISNUMBER('Group Matches'!K37)),1,0)</f>
        <v>0</v>
      </c>
      <c r="N70" s="2">
        <f t="shared" si="20"/>
        <v>0</v>
      </c>
      <c r="O70" s="2">
        <f t="shared" si="21"/>
        <v>0</v>
      </c>
      <c r="P70" s="2">
        <f t="shared" si="22"/>
        <v>0</v>
      </c>
      <c r="Q70" s="2">
        <f t="shared" si="23"/>
        <v>0</v>
      </c>
    </row>
    <row r="71" spans="1:17" x14ac:dyDescent="0.2">
      <c r="A71" s="2" t="s">
        <v>30</v>
      </c>
      <c r="B71" s="2" t="str">
        <f>'Group Matches'!E37</f>
        <v>Curaçao</v>
      </c>
      <c r="C71" s="2" t="str">
        <f>'Group Matches'!D37</f>
        <v>Ecuador</v>
      </c>
      <c r="D71" s="2">
        <f>IF(ISNUMBER('Group Matches'!G37),'Group Matches'!G37,0)</f>
        <v>0</v>
      </c>
      <c r="E71" s="2">
        <f>IF(ISNUMBER('Group Matches'!F37),'Group Matches'!F37,0)</f>
        <v>2</v>
      </c>
      <c r="F71" s="2">
        <f>IF(AND(ISNUMBER('Group Matches'!G37),ISNUMBER('Group Matches'!F37)),1,0)</f>
        <v>1</v>
      </c>
      <c r="G71" s="2">
        <f t="shared" si="16"/>
        <v>0</v>
      </c>
      <c r="H71" s="2">
        <f t="shared" si="17"/>
        <v>0</v>
      </c>
      <c r="I71" s="2">
        <f t="shared" si="18"/>
        <v>1</v>
      </c>
      <c r="J71" s="2">
        <f t="shared" si="19"/>
        <v>0</v>
      </c>
      <c r="K71" s="2">
        <f>IF(ISNUMBER('Group Matches'!K37),'Group Matches'!K37,0)</f>
        <v>0</v>
      </c>
      <c r="L71" s="2">
        <f>IF(ISNUMBER('Group Matches'!J37),'Group Matches'!J37,0)</f>
        <v>0</v>
      </c>
      <c r="M71" s="2">
        <f>IF(AND(ISNUMBER('Group Matches'!K37),ISNUMBER('Group Matches'!J37)),1,0)</f>
        <v>0</v>
      </c>
      <c r="N71" s="2">
        <f t="shared" si="20"/>
        <v>0</v>
      </c>
      <c r="O71" s="2">
        <f t="shared" si="21"/>
        <v>0</v>
      </c>
      <c r="P71" s="2">
        <f t="shared" si="22"/>
        <v>0</v>
      </c>
      <c r="Q71" s="2">
        <f t="shared" si="23"/>
        <v>0</v>
      </c>
    </row>
    <row r="72" spans="1:17" x14ac:dyDescent="0.2">
      <c r="A72" s="2" t="s">
        <v>35</v>
      </c>
      <c r="B72" s="2" t="str">
        <f>'Group Matches'!D38</f>
        <v>Tunisia</v>
      </c>
      <c r="C72" s="2" t="str">
        <f>'Group Matches'!E38</f>
        <v>Japan</v>
      </c>
      <c r="D72" s="2">
        <f>IF(ISNUMBER('Group Matches'!F38),'Group Matches'!F38,0)</f>
        <v>0</v>
      </c>
      <c r="E72" s="2">
        <f>IF(ISNUMBER('Group Matches'!G38),'Group Matches'!G38,0)</f>
        <v>2</v>
      </c>
      <c r="F72" s="2">
        <f>IF(AND(ISNUMBER('Group Matches'!F38),ISNUMBER('Group Matches'!G38)),1,0)</f>
        <v>1</v>
      </c>
      <c r="G72" s="2">
        <f t="shared" si="16"/>
        <v>0</v>
      </c>
      <c r="H72" s="2">
        <f t="shared" si="17"/>
        <v>0</v>
      </c>
      <c r="I72" s="2">
        <f t="shared" si="18"/>
        <v>1</v>
      </c>
      <c r="J72" s="2">
        <f t="shared" si="19"/>
        <v>0</v>
      </c>
      <c r="K72" s="2">
        <f>IF(ISNUMBER('Group Matches'!J38),'Group Matches'!J38,0)</f>
        <v>0</v>
      </c>
      <c r="L72" s="2">
        <f>IF(ISNUMBER('Group Matches'!K38),'Group Matches'!K38,0)</f>
        <v>0</v>
      </c>
      <c r="M72" s="2">
        <f>IF(AND(ISNUMBER('Group Matches'!J38),ISNUMBER('Group Matches'!K38)),1,0)</f>
        <v>0</v>
      </c>
      <c r="N72" s="2">
        <f t="shared" si="20"/>
        <v>0</v>
      </c>
      <c r="O72" s="2">
        <f t="shared" si="21"/>
        <v>0</v>
      </c>
      <c r="P72" s="2">
        <f t="shared" si="22"/>
        <v>0</v>
      </c>
      <c r="Q72" s="2">
        <f t="shared" si="23"/>
        <v>0</v>
      </c>
    </row>
    <row r="73" spans="1:17" x14ac:dyDescent="0.2">
      <c r="A73" s="2" t="s">
        <v>35</v>
      </c>
      <c r="B73" s="2" t="str">
        <f>'Group Matches'!E38</f>
        <v>Japan</v>
      </c>
      <c r="C73" s="2" t="str">
        <f>'Group Matches'!D38</f>
        <v>Tunisia</v>
      </c>
      <c r="D73" s="2">
        <f>IF(ISNUMBER('Group Matches'!G38),'Group Matches'!G38,0)</f>
        <v>2</v>
      </c>
      <c r="E73" s="2">
        <f>IF(ISNUMBER('Group Matches'!F38),'Group Matches'!F38,0)</f>
        <v>0</v>
      </c>
      <c r="F73" s="2">
        <f>IF(AND(ISNUMBER('Group Matches'!G38),ISNUMBER('Group Matches'!F38)),1,0)</f>
        <v>1</v>
      </c>
      <c r="G73" s="2">
        <f t="shared" si="16"/>
        <v>1</v>
      </c>
      <c r="H73" s="2">
        <f t="shared" si="17"/>
        <v>0</v>
      </c>
      <c r="I73" s="2">
        <f t="shared" si="18"/>
        <v>0</v>
      </c>
      <c r="J73" s="2">
        <f t="shared" si="19"/>
        <v>3</v>
      </c>
      <c r="K73" s="2">
        <f>IF(ISNUMBER('Group Matches'!K38),'Group Matches'!K38,0)</f>
        <v>0</v>
      </c>
      <c r="L73" s="2">
        <f>IF(ISNUMBER('Group Matches'!J38),'Group Matches'!J38,0)</f>
        <v>0</v>
      </c>
      <c r="M73" s="2">
        <f>IF(AND(ISNUMBER('Group Matches'!K38),ISNUMBER('Group Matches'!J38)),1,0)</f>
        <v>0</v>
      </c>
      <c r="N73" s="2">
        <f t="shared" si="20"/>
        <v>0</v>
      </c>
      <c r="O73" s="2">
        <f t="shared" si="21"/>
        <v>0</v>
      </c>
      <c r="P73" s="2">
        <f t="shared" si="22"/>
        <v>0</v>
      </c>
      <c r="Q73" s="2">
        <f t="shared" si="23"/>
        <v>0</v>
      </c>
    </row>
    <row r="74" spans="1:17" x14ac:dyDescent="0.2">
      <c r="A74" s="2" t="s">
        <v>46</v>
      </c>
      <c r="B74" s="2" t="str">
        <f>'Group Matches'!D39</f>
        <v>Spain</v>
      </c>
      <c r="C74" s="2" t="str">
        <f>'Group Matches'!E39</f>
        <v>Saudi Arabia</v>
      </c>
      <c r="D74" s="2">
        <f>IF(ISNUMBER('Group Matches'!F39),'Group Matches'!F39,0)</f>
        <v>3</v>
      </c>
      <c r="E74" s="2">
        <f>IF(ISNUMBER('Group Matches'!G39),'Group Matches'!G39,0)</f>
        <v>0</v>
      </c>
      <c r="F74" s="2">
        <f>IF(AND(ISNUMBER('Group Matches'!F39),ISNUMBER('Group Matches'!G39)),1,0)</f>
        <v>1</v>
      </c>
      <c r="G74" s="2">
        <f t="shared" si="16"/>
        <v>1</v>
      </c>
      <c r="H74" s="2">
        <f t="shared" si="17"/>
        <v>0</v>
      </c>
      <c r="I74" s="2">
        <f t="shared" si="18"/>
        <v>0</v>
      </c>
      <c r="J74" s="2">
        <f t="shared" si="19"/>
        <v>3</v>
      </c>
      <c r="K74" s="2">
        <f>IF(ISNUMBER('Group Matches'!J39),'Group Matches'!J39,0)</f>
        <v>0</v>
      </c>
      <c r="L74" s="2">
        <f>IF(ISNUMBER('Group Matches'!K39),'Group Matches'!K39,0)</f>
        <v>0</v>
      </c>
      <c r="M74" s="2">
        <f>IF(AND(ISNUMBER('Group Matches'!J39),ISNUMBER('Group Matches'!K39)),1,0)</f>
        <v>0</v>
      </c>
      <c r="N74" s="2">
        <f t="shared" si="20"/>
        <v>0</v>
      </c>
      <c r="O74" s="2">
        <f t="shared" si="21"/>
        <v>0</v>
      </c>
      <c r="P74" s="2">
        <f t="shared" si="22"/>
        <v>0</v>
      </c>
      <c r="Q74" s="2">
        <f t="shared" si="23"/>
        <v>0</v>
      </c>
    </row>
    <row r="75" spans="1:17" x14ac:dyDescent="0.2">
      <c r="A75" s="2" t="s">
        <v>46</v>
      </c>
      <c r="B75" s="2" t="str">
        <f>'Group Matches'!E39</f>
        <v>Saudi Arabia</v>
      </c>
      <c r="C75" s="2" t="str">
        <f>'Group Matches'!D39</f>
        <v>Spain</v>
      </c>
      <c r="D75" s="2">
        <f>IF(ISNUMBER('Group Matches'!G39),'Group Matches'!G39,0)</f>
        <v>0</v>
      </c>
      <c r="E75" s="2">
        <f>IF(ISNUMBER('Group Matches'!F39),'Group Matches'!F39,0)</f>
        <v>3</v>
      </c>
      <c r="F75" s="2">
        <f>IF(AND(ISNUMBER('Group Matches'!G39),ISNUMBER('Group Matches'!F39)),1,0)</f>
        <v>1</v>
      </c>
      <c r="G75" s="2">
        <f t="shared" si="16"/>
        <v>0</v>
      </c>
      <c r="H75" s="2">
        <f t="shared" si="17"/>
        <v>0</v>
      </c>
      <c r="I75" s="2">
        <f t="shared" si="18"/>
        <v>1</v>
      </c>
      <c r="J75" s="2">
        <f t="shared" si="19"/>
        <v>0</v>
      </c>
      <c r="K75" s="2">
        <f>IF(ISNUMBER('Group Matches'!K39),'Group Matches'!K39,0)</f>
        <v>0</v>
      </c>
      <c r="L75" s="2">
        <f>IF(ISNUMBER('Group Matches'!J39),'Group Matches'!J39,0)</f>
        <v>0</v>
      </c>
      <c r="M75" s="2">
        <f>IF(AND(ISNUMBER('Group Matches'!K39),ISNUMBER('Group Matches'!J39)),1,0)</f>
        <v>0</v>
      </c>
      <c r="N75" s="2">
        <f t="shared" si="20"/>
        <v>0</v>
      </c>
      <c r="O75" s="2">
        <f t="shared" si="21"/>
        <v>0</v>
      </c>
      <c r="P75" s="2">
        <f t="shared" si="22"/>
        <v>0</v>
      </c>
      <c r="Q75" s="2">
        <f t="shared" si="23"/>
        <v>0</v>
      </c>
    </row>
    <row r="76" spans="1:17" x14ac:dyDescent="0.2">
      <c r="A76" s="2" t="s">
        <v>40</v>
      </c>
      <c r="B76" s="2" t="str">
        <f>'Group Matches'!D40</f>
        <v>Belgium</v>
      </c>
      <c r="C76" s="2" t="str">
        <f>'Group Matches'!E40</f>
        <v>Iran</v>
      </c>
      <c r="D76" s="2">
        <f>IF(ISNUMBER('Group Matches'!F40),'Group Matches'!F40,0)</f>
        <v>2</v>
      </c>
      <c r="E76" s="2">
        <f>IF(ISNUMBER('Group Matches'!G40),'Group Matches'!G40,0)</f>
        <v>1</v>
      </c>
      <c r="F76" s="2">
        <f>IF(AND(ISNUMBER('Group Matches'!F40),ISNUMBER('Group Matches'!G40)),1,0)</f>
        <v>1</v>
      </c>
      <c r="G76" s="2">
        <f t="shared" si="16"/>
        <v>1</v>
      </c>
      <c r="H76" s="2">
        <f t="shared" si="17"/>
        <v>0</v>
      </c>
      <c r="I76" s="2">
        <f t="shared" si="18"/>
        <v>0</v>
      </c>
      <c r="J76" s="2">
        <f t="shared" si="19"/>
        <v>3</v>
      </c>
      <c r="K76" s="2">
        <f>IF(ISNUMBER('Group Matches'!J40),'Group Matches'!J40,0)</f>
        <v>0</v>
      </c>
      <c r="L76" s="2">
        <f>IF(ISNUMBER('Group Matches'!K40),'Group Matches'!K40,0)</f>
        <v>0</v>
      </c>
      <c r="M76" s="2">
        <f>IF(AND(ISNUMBER('Group Matches'!J40),ISNUMBER('Group Matches'!K40)),1,0)</f>
        <v>0</v>
      </c>
      <c r="N76" s="2">
        <f t="shared" si="20"/>
        <v>0</v>
      </c>
      <c r="O76" s="2">
        <f t="shared" si="21"/>
        <v>0</v>
      </c>
      <c r="P76" s="2">
        <f t="shared" si="22"/>
        <v>0</v>
      </c>
      <c r="Q76" s="2">
        <f t="shared" si="23"/>
        <v>0</v>
      </c>
    </row>
    <row r="77" spans="1:17" x14ac:dyDescent="0.2">
      <c r="A77" s="2" t="s">
        <v>40</v>
      </c>
      <c r="B77" s="2" t="str">
        <f>'Group Matches'!E40</f>
        <v>Iran</v>
      </c>
      <c r="C77" s="2" t="str">
        <f>'Group Matches'!D40</f>
        <v>Belgium</v>
      </c>
      <c r="D77" s="2">
        <f>IF(ISNUMBER('Group Matches'!G40),'Group Matches'!G40,0)</f>
        <v>1</v>
      </c>
      <c r="E77" s="2">
        <f>IF(ISNUMBER('Group Matches'!F40),'Group Matches'!F40,0)</f>
        <v>2</v>
      </c>
      <c r="F77" s="2">
        <f>IF(AND(ISNUMBER('Group Matches'!G40),ISNUMBER('Group Matches'!F40)),1,0)</f>
        <v>1</v>
      </c>
      <c r="G77" s="2">
        <f t="shared" si="16"/>
        <v>0</v>
      </c>
      <c r="H77" s="2">
        <f t="shared" si="17"/>
        <v>0</v>
      </c>
      <c r="I77" s="2">
        <f t="shared" si="18"/>
        <v>1</v>
      </c>
      <c r="J77" s="2">
        <f t="shared" si="19"/>
        <v>0</v>
      </c>
      <c r="K77" s="2">
        <f>IF(ISNUMBER('Group Matches'!K40),'Group Matches'!K40,0)</f>
        <v>0</v>
      </c>
      <c r="L77" s="2">
        <f>IF(ISNUMBER('Group Matches'!J40),'Group Matches'!J40,0)</f>
        <v>0</v>
      </c>
      <c r="M77" s="2">
        <f>IF(AND(ISNUMBER('Group Matches'!K40),ISNUMBER('Group Matches'!J40)),1,0)</f>
        <v>0</v>
      </c>
      <c r="N77" s="2">
        <f t="shared" si="20"/>
        <v>0</v>
      </c>
      <c r="O77" s="2">
        <f t="shared" si="21"/>
        <v>0</v>
      </c>
      <c r="P77" s="2">
        <f t="shared" si="22"/>
        <v>0</v>
      </c>
      <c r="Q77" s="2">
        <f t="shared" si="23"/>
        <v>0</v>
      </c>
    </row>
    <row r="78" spans="1:17" x14ac:dyDescent="0.2">
      <c r="A78" s="2" t="s">
        <v>46</v>
      </c>
      <c r="B78" s="2" t="str">
        <f>'Group Matches'!D41</f>
        <v>Uruguay</v>
      </c>
      <c r="C78" s="2" t="str">
        <f>'Group Matches'!E41</f>
        <v>Cabo Verde</v>
      </c>
      <c r="D78" s="2">
        <f>IF(ISNUMBER('Group Matches'!F41),'Group Matches'!F41,0)</f>
        <v>3</v>
      </c>
      <c r="E78" s="2">
        <f>IF(ISNUMBER('Group Matches'!G41),'Group Matches'!G41,0)</f>
        <v>0</v>
      </c>
      <c r="F78" s="2">
        <f>IF(AND(ISNUMBER('Group Matches'!F41),ISNUMBER('Group Matches'!G41)),1,0)</f>
        <v>1</v>
      </c>
      <c r="G78" s="2">
        <f t="shared" si="16"/>
        <v>1</v>
      </c>
      <c r="H78" s="2">
        <f t="shared" si="17"/>
        <v>0</v>
      </c>
      <c r="I78" s="2">
        <f t="shared" si="18"/>
        <v>0</v>
      </c>
      <c r="J78" s="2">
        <f t="shared" si="19"/>
        <v>3</v>
      </c>
      <c r="K78" s="2">
        <f>IF(ISNUMBER('Group Matches'!J41),'Group Matches'!J41,0)</f>
        <v>0</v>
      </c>
      <c r="L78" s="2">
        <f>IF(ISNUMBER('Group Matches'!K41),'Group Matches'!K41,0)</f>
        <v>0</v>
      </c>
      <c r="M78" s="2">
        <f>IF(AND(ISNUMBER('Group Matches'!J41),ISNUMBER('Group Matches'!K41)),1,0)</f>
        <v>0</v>
      </c>
      <c r="N78" s="2">
        <f t="shared" si="20"/>
        <v>0</v>
      </c>
      <c r="O78" s="2">
        <f t="shared" si="21"/>
        <v>0</v>
      </c>
      <c r="P78" s="2">
        <f t="shared" si="22"/>
        <v>0</v>
      </c>
      <c r="Q78" s="2">
        <f t="shared" si="23"/>
        <v>0</v>
      </c>
    </row>
    <row r="79" spans="1:17" x14ac:dyDescent="0.2">
      <c r="A79" s="2" t="s">
        <v>46</v>
      </c>
      <c r="B79" s="2" t="str">
        <f>'Group Matches'!E41</f>
        <v>Cabo Verde</v>
      </c>
      <c r="C79" s="2" t="str">
        <f>'Group Matches'!D41</f>
        <v>Uruguay</v>
      </c>
      <c r="D79" s="2">
        <f>IF(ISNUMBER('Group Matches'!G41),'Group Matches'!G41,0)</f>
        <v>0</v>
      </c>
      <c r="E79" s="2">
        <f>IF(ISNUMBER('Group Matches'!F41),'Group Matches'!F41,0)</f>
        <v>3</v>
      </c>
      <c r="F79" s="2">
        <f>IF(AND(ISNUMBER('Group Matches'!G41),ISNUMBER('Group Matches'!F41)),1,0)</f>
        <v>1</v>
      </c>
      <c r="G79" s="2">
        <f t="shared" si="16"/>
        <v>0</v>
      </c>
      <c r="H79" s="2">
        <f t="shared" si="17"/>
        <v>0</v>
      </c>
      <c r="I79" s="2">
        <f t="shared" si="18"/>
        <v>1</v>
      </c>
      <c r="J79" s="2">
        <f t="shared" si="19"/>
        <v>0</v>
      </c>
      <c r="K79" s="2">
        <f>IF(ISNUMBER('Group Matches'!K41),'Group Matches'!K41,0)</f>
        <v>0</v>
      </c>
      <c r="L79" s="2">
        <f>IF(ISNUMBER('Group Matches'!J41),'Group Matches'!J41,0)</f>
        <v>0</v>
      </c>
      <c r="M79" s="2">
        <f>IF(AND(ISNUMBER('Group Matches'!K41),ISNUMBER('Group Matches'!J41)),1,0)</f>
        <v>0</v>
      </c>
      <c r="N79" s="2">
        <f t="shared" si="20"/>
        <v>0</v>
      </c>
      <c r="O79" s="2">
        <f t="shared" si="21"/>
        <v>0</v>
      </c>
      <c r="P79" s="2">
        <f t="shared" si="22"/>
        <v>0</v>
      </c>
      <c r="Q79" s="2">
        <f t="shared" si="23"/>
        <v>0</v>
      </c>
    </row>
    <row r="80" spans="1:17" x14ac:dyDescent="0.2">
      <c r="A80" s="2" t="s">
        <v>40</v>
      </c>
      <c r="B80" s="2" t="str">
        <f>'Group Matches'!D42</f>
        <v>New Zealand</v>
      </c>
      <c r="C80" s="2" t="str">
        <f>'Group Matches'!E42</f>
        <v>Egypt</v>
      </c>
      <c r="D80" s="2">
        <f>IF(ISNUMBER('Group Matches'!F42),'Group Matches'!F42,0)</f>
        <v>0</v>
      </c>
      <c r="E80" s="2">
        <f>IF(ISNUMBER('Group Matches'!G42),'Group Matches'!G42,0)</f>
        <v>2</v>
      </c>
      <c r="F80" s="2">
        <f>IF(AND(ISNUMBER('Group Matches'!F42),ISNUMBER('Group Matches'!G42)),1,0)</f>
        <v>1</v>
      </c>
      <c r="G80" s="2">
        <f t="shared" si="16"/>
        <v>0</v>
      </c>
      <c r="H80" s="2">
        <f t="shared" si="17"/>
        <v>0</v>
      </c>
      <c r="I80" s="2">
        <f t="shared" si="18"/>
        <v>1</v>
      </c>
      <c r="J80" s="2">
        <f t="shared" si="19"/>
        <v>0</v>
      </c>
      <c r="K80" s="2">
        <f>IF(ISNUMBER('Group Matches'!J42),'Group Matches'!J42,0)</f>
        <v>0</v>
      </c>
      <c r="L80" s="2">
        <f>IF(ISNUMBER('Group Matches'!K42),'Group Matches'!K42,0)</f>
        <v>0</v>
      </c>
      <c r="M80" s="2">
        <f>IF(AND(ISNUMBER('Group Matches'!J42),ISNUMBER('Group Matches'!K42)),1,0)</f>
        <v>0</v>
      </c>
      <c r="N80" s="2">
        <f t="shared" si="20"/>
        <v>0</v>
      </c>
      <c r="O80" s="2">
        <f t="shared" si="21"/>
        <v>0</v>
      </c>
      <c r="P80" s="2">
        <f t="shared" si="22"/>
        <v>0</v>
      </c>
      <c r="Q80" s="2">
        <f t="shared" si="23"/>
        <v>0</v>
      </c>
    </row>
    <row r="81" spans="1:17" x14ac:dyDescent="0.2">
      <c r="A81" s="2" t="s">
        <v>40</v>
      </c>
      <c r="B81" s="2" t="str">
        <f>'Group Matches'!E42</f>
        <v>Egypt</v>
      </c>
      <c r="C81" s="2" t="str">
        <f>'Group Matches'!D42</f>
        <v>New Zealand</v>
      </c>
      <c r="D81" s="2">
        <f>IF(ISNUMBER('Group Matches'!G42),'Group Matches'!G42,0)</f>
        <v>2</v>
      </c>
      <c r="E81" s="2">
        <f>IF(ISNUMBER('Group Matches'!F42),'Group Matches'!F42,0)</f>
        <v>0</v>
      </c>
      <c r="F81" s="2">
        <f>IF(AND(ISNUMBER('Group Matches'!G42),ISNUMBER('Group Matches'!F42)),1,0)</f>
        <v>1</v>
      </c>
      <c r="G81" s="2">
        <f t="shared" si="16"/>
        <v>1</v>
      </c>
      <c r="H81" s="2">
        <f t="shared" si="17"/>
        <v>0</v>
      </c>
      <c r="I81" s="2">
        <f t="shared" si="18"/>
        <v>0</v>
      </c>
      <c r="J81" s="2">
        <f t="shared" si="19"/>
        <v>3</v>
      </c>
      <c r="K81" s="2">
        <f>IF(ISNUMBER('Group Matches'!K42),'Group Matches'!K42,0)</f>
        <v>0</v>
      </c>
      <c r="L81" s="2">
        <f>IF(ISNUMBER('Group Matches'!J42),'Group Matches'!J42,0)</f>
        <v>0</v>
      </c>
      <c r="M81" s="2">
        <f>IF(AND(ISNUMBER('Group Matches'!K42),ISNUMBER('Group Matches'!J42)),1,0)</f>
        <v>0</v>
      </c>
      <c r="N81" s="2">
        <f t="shared" si="20"/>
        <v>0</v>
      </c>
      <c r="O81" s="2">
        <f t="shared" si="21"/>
        <v>0</v>
      </c>
      <c r="P81" s="2">
        <f t="shared" si="22"/>
        <v>0</v>
      </c>
      <c r="Q81" s="2">
        <f t="shared" si="23"/>
        <v>0</v>
      </c>
    </row>
    <row r="82" spans="1:17" x14ac:dyDescent="0.2">
      <c r="A82" s="2" t="s">
        <v>56</v>
      </c>
      <c r="B82" s="2" t="str">
        <f>'Group Matches'!D43</f>
        <v>Argentina</v>
      </c>
      <c r="C82" s="2" t="str">
        <f>'Group Matches'!E43</f>
        <v>Austria</v>
      </c>
      <c r="D82" s="2">
        <f>IF(ISNUMBER('Group Matches'!F43),'Group Matches'!F43,0)</f>
        <v>2</v>
      </c>
      <c r="E82" s="2">
        <f>IF(ISNUMBER('Group Matches'!G43),'Group Matches'!G43,0)</f>
        <v>1</v>
      </c>
      <c r="F82" s="2">
        <f>IF(AND(ISNUMBER('Group Matches'!F43),ISNUMBER('Group Matches'!G43)),1,0)</f>
        <v>1</v>
      </c>
      <c r="G82" s="2">
        <f t="shared" si="16"/>
        <v>1</v>
      </c>
      <c r="H82" s="2">
        <f t="shared" si="17"/>
        <v>0</v>
      </c>
      <c r="I82" s="2">
        <f t="shared" si="18"/>
        <v>0</v>
      </c>
      <c r="J82" s="2">
        <f t="shared" si="19"/>
        <v>3</v>
      </c>
      <c r="K82" s="2">
        <f>IF(ISNUMBER('Group Matches'!J43),'Group Matches'!J43,0)</f>
        <v>0</v>
      </c>
      <c r="L82" s="2">
        <f>IF(ISNUMBER('Group Matches'!K43),'Group Matches'!K43,0)</f>
        <v>0</v>
      </c>
      <c r="M82" s="2">
        <f>IF(AND(ISNUMBER('Group Matches'!J43),ISNUMBER('Group Matches'!K43)),1,0)</f>
        <v>0</v>
      </c>
      <c r="N82" s="2">
        <f t="shared" si="20"/>
        <v>0</v>
      </c>
      <c r="O82" s="2">
        <f t="shared" si="21"/>
        <v>0</v>
      </c>
      <c r="P82" s="2">
        <f t="shared" si="22"/>
        <v>0</v>
      </c>
      <c r="Q82" s="2">
        <f t="shared" si="23"/>
        <v>0</v>
      </c>
    </row>
    <row r="83" spans="1:17" x14ac:dyDescent="0.2">
      <c r="A83" s="2" t="s">
        <v>56</v>
      </c>
      <c r="B83" s="2" t="str">
        <f>'Group Matches'!E43</f>
        <v>Austria</v>
      </c>
      <c r="C83" s="2" t="str">
        <f>'Group Matches'!D43</f>
        <v>Argentina</v>
      </c>
      <c r="D83" s="2">
        <f>IF(ISNUMBER('Group Matches'!G43),'Group Matches'!G43,0)</f>
        <v>1</v>
      </c>
      <c r="E83" s="2">
        <f>IF(ISNUMBER('Group Matches'!F43),'Group Matches'!F43,0)</f>
        <v>2</v>
      </c>
      <c r="F83" s="2">
        <f>IF(AND(ISNUMBER('Group Matches'!G43),ISNUMBER('Group Matches'!F43)),1,0)</f>
        <v>1</v>
      </c>
      <c r="G83" s="2">
        <f t="shared" si="16"/>
        <v>0</v>
      </c>
      <c r="H83" s="2">
        <f t="shared" si="17"/>
        <v>0</v>
      </c>
      <c r="I83" s="2">
        <f t="shared" si="18"/>
        <v>1</v>
      </c>
      <c r="J83" s="2">
        <f t="shared" si="19"/>
        <v>0</v>
      </c>
      <c r="K83" s="2">
        <f>IF(ISNUMBER('Group Matches'!K43),'Group Matches'!K43,0)</f>
        <v>0</v>
      </c>
      <c r="L83" s="2">
        <f>IF(ISNUMBER('Group Matches'!J43),'Group Matches'!J43,0)</f>
        <v>0</v>
      </c>
      <c r="M83" s="2">
        <f>IF(AND(ISNUMBER('Group Matches'!K43),ISNUMBER('Group Matches'!J43)),1,0)</f>
        <v>0</v>
      </c>
      <c r="N83" s="2">
        <f t="shared" si="20"/>
        <v>0</v>
      </c>
      <c r="O83" s="2">
        <f t="shared" si="21"/>
        <v>0</v>
      </c>
      <c r="P83" s="2">
        <f t="shared" si="22"/>
        <v>0</v>
      </c>
      <c r="Q83" s="2">
        <f t="shared" si="23"/>
        <v>0</v>
      </c>
    </row>
    <row r="84" spans="1:17" x14ac:dyDescent="0.2">
      <c r="A84" s="2" t="s">
        <v>51</v>
      </c>
      <c r="B84" s="2" t="str">
        <f>'Group Matches'!D44</f>
        <v>France</v>
      </c>
      <c r="C84" s="2" t="str">
        <f>'Group Matches'!E44</f>
        <v>Iraq</v>
      </c>
      <c r="D84" s="2">
        <f>IF(ISNUMBER('Group Matches'!F44),'Group Matches'!F44,0)</f>
        <v>3</v>
      </c>
      <c r="E84" s="2">
        <f>IF(ISNUMBER('Group Matches'!G44),'Group Matches'!G44,0)</f>
        <v>0</v>
      </c>
      <c r="F84" s="2">
        <f>IF(AND(ISNUMBER('Group Matches'!F44),ISNUMBER('Group Matches'!G44)),1,0)</f>
        <v>1</v>
      </c>
      <c r="G84" s="2">
        <f t="shared" si="16"/>
        <v>1</v>
      </c>
      <c r="H84" s="2">
        <f t="shared" si="17"/>
        <v>0</v>
      </c>
      <c r="I84" s="2">
        <f t="shared" si="18"/>
        <v>0</v>
      </c>
      <c r="J84" s="2">
        <f t="shared" si="19"/>
        <v>3</v>
      </c>
      <c r="K84" s="2">
        <f>IF(ISNUMBER('Group Matches'!J44),'Group Matches'!J44,0)</f>
        <v>0</v>
      </c>
      <c r="L84" s="2">
        <f>IF(ISNUMBER('Group Matches'!K44),'Group Matches'!K44,0)</f>
        <v>0</v>
      </c>
      <c r="M84" s="2">
        <f>IF(AND(ISNUMBER('Group Matches'!J44),ISNUMBER('Group Matches'!K44)),1,0)</f>
        <v>0</v>
      </c>
      <c r="N84" s="2">
        <f t="shared" si="20"/>
        <v>0</v>
      </c>
      <c r="O84" s="2">
        <f t="shared" si="21"/>
        <v>0</v>
      </c>
      <c r="P84" s="2">
        <f t="shared" si="22"/>
        <v>0</v>
      </c>
      <c r="Q84" s="2">
        <f t="shared" si="23"/>
        <v>0</v>
      </c>
    </row>
    <row r="85" spans="1:17" x14ac:dyDescent="0.2">
      <c r="A85" s="2" t="s">
        <v>51</v>
      </c>
      <c r="B85" s="2" t="str">
        <f>'Group Matches'!E44</f>
        <v>Iraq</v>
      </c>
      <c r="C85" s="2" t="str">
        <f>'Group Matches'!D44</f>
        <v>France</v>
      </c>
      <c r="D85" s="2">
        <f>IF(ISNUMBER('Group Matches'!G44),'Group Matches'!G44,0)</f>
        <v>0</v>
      </c>
      <c r="E85" s="2">
        <f>IF(ISNUMBER('Group Matches'!F44),'Group Matches'!F44,0)</f>
        <v>3</v>
      </c>
      <c r="F85" s="2">
        <f>IF(AND(ISNUMBER('Group Matches'!G44),ISNUMBER('Group Matches'!F44)),1,0)</f>
        <v>1</v>
      </c>
      <c r="G85" s="2">
        <f t="shared" si="16"/>
        <v>0</v>
      </c>
      <c r="H85" s="2">
        <f t="shared" si="17"/>
        <v>0</v>
      </c>
      <c r="I85" s="2">
        <f t="shared" si="18"/>
        <v>1</v>
      </c>
      <c r="J85" s="2">
        <f t="shared" si="19"/>
        <v>0</v>
      </c>
      <c r="K85" s="2">
        <f>IF(ISNUMBER('Group Matches'!K44),'Group Matches'!K44,0)</f>
        <v>0</v>
      </c>
      <c r="L85" s="2">
        <f>IF(ISNUMBER('Group Matches'!J44),'Group Matches'!J44,0)</f>
        <v>0</v>
      </c>
      <c r="M85" s="2">
        <f>IF(AND(ISNUMBER('Group Matches'!K44),ISNUMBER('Group Matches'!J44)),1,0)</f>
        <v>0</v>
      </c>
      <c r="N85" s="2">
        <f t="shared" si="20"/>
        <v>0</v>
      </c>
      <c r="O85" s="2">
        <f t="shared" si="21"/>
        <v>0</v>
      </c>
      <c r="P85" s="2">
        <f t="shared" si="22"/>
        <v>0</v>
      </c>
      <c r="Q85" s="2">
        <f t="shared" si="23"/>
        <v>0</v>
      </c>
    </row>
    <row r="86" spans="1:17" x14ac:dyDescent="0.2">
      <c r="A86" s="2" t="s">
        <v>51</v>
      </c>
      <c r="B86" s="2" t="str">
        <f>'Group Matches'!D45</f>
        <v>Norway</v>
      </c>
      <c r="C86" s="2" t="str">
        <f>'Group Matches'!E45</f>
        <v>Senegal</v>
      </c>
      <c r="D86" s="2">
        <f>IF(ISNUMBER('Group Matches'!F45),'Group Matches'!F45,0)</f>
        <v>2</v>
      </c>
      <c r="E86" s="2">
        <f>IF(ISNUMBER('Group Matches'!G45),'Group Matches'!G45,0)</f>
        <v>1</v>
      </c>
      <c r="F86" s="2">
        <f>IF(AND(ISNUMBER('Group Matches'!F45),ISNUMBER('Group Matches'!G45)),1,0)</f>
        <v>1</v>
      </c>
      <c r="G86" s="2">
        <f t="shared" si="16"/>
        <v>1</v>
      </c>
      <c r="H86" s="2">
        <f t="shared" si="17"/>
        <v>0</v>
      </c>
      <c r="I86" s="2">
        <f t="shared" si="18"/>
        <v>0</v>
      </c>
      <c r="J86" s="2">
        <f t="shared" si="19"/>
        <v>3</v>
      </c>
      <c r="K86" s="2">
        <f>IF(ISNUMBER('Group Matches'!J45),'Group Matches'!J45,0)</f>
        <v>0</v>
      </c>
      <c r="L86" s="2">
        <f>IF(ISNUMBER('Group Matches'!K45),'Group Matches'!K45,0)</f>
        <v>0</v>
      </c>
      <c r="M86" s="2">
        <f>IF(AND(ISNUMBER('Group Matches'!J45),ISNUMBER('Group Matches'!K45)),1,0)</f>
        <v>0</v>
      </c>
      <c r="N86" s="2">
        <f t="shared" si="20"/>
        <v>0</v>
      </c>
      <c r="O86" s="2">
        <f t="shared" si="21"/>
        <v>0</v>
      </c>
      <c r="P86" s="2">
        <f t="shared" si="22"/>
        <v>0</v>
      </c>
      <c r="Q86" s="2">
        <f t="shared" si="23"/>
        <v>0</v>
      </c>
    </row>
    <row r="87" spans="1:17" x14ac:dyDescent="0.2">
      <c r="A87" s="2" t="s">
        <v>51</v>
      </c>
      <c r="B87" s="2" t="str">
        <f>'Group Matches'!E45</f>
        <v>Senegal</v>
      </c>
      <c r="C87" s="2" t="str">
        <f>'Group Matches'!D45</f>
        <v>Norway</v>
      </c>
      <c r="D87" s="2">
        <f>IF(ISNUMBER('Group Matches'!G45),'Group Matches'!G45,0)</f>
        <v>1</v>
      </c>
      <c r="E87" s="2">
        <f>IF(ISNUMBER('Group Matches'!F45),'Group Matches'!F45,0)</f>
        <v>2</v>
      </c>
      <c r="F87" s="2">
        <f>IF(AND(ISNUMBER('Group Matches'!G45),ISNUMBER('Group Matches'!F45)),1,0)</f>
        <v>1</v>
      </c>
      <c r="G87" s="2">
        <f t="shared" si="16"/>
        <v>0</v>
      </c>
      <c r="H87" s="2">
        <f t="shared" si="17"/>
        <v>0</v>
      </c>
      <c r="I87" s="2">
        <f t="shared" si="18"/>
        <v>1</v>
      </c>
      <c r="J87" s="2">
        <f t="shared" si="19"/>
        <v>0</v>
      </c>
      <c r="K87" s="2">
        <f>IF(ISNUMBER('Group Matches'!K45),'Group Matches'!K45,0)</f>
        <v>0</v>
      </c>
      <c r="L87" s="2">
        <f>IF(ISNUMBER('Group Matches'!J45),'Group Matches'!J45,0)</f>
        <v>0</v>
      </c>
      <c r="M87" s="2">
        <f>IF(AND(ISNUMBER('Group Matches'!K45),ISNUMBER('Group Matches'!J45)),1,0)</f>
        <v>0</v>
      </c>
      <c r="N87" s="2">
        <f t="shared" si="20"/>
        <v>0</v>
      </c>
      <c r="O87" s="2">
        <f t="shared" si="21"/>
        <v>0</v>
      </c>
      <c r="P87" s="2">
        <f t="shared" si="22"/>
        <v>0</v>
      </c>
      <c r="Q87" s="2">
        <f t="shared" si="23"/>
        <v>0</v>
      </c>
    </row>
    <row r="88" spans="1:17" x14ac:dyDescent="0.2">
      <c r="A88" s="2" t="s">
        <v>56</v>
      </c>
      <c r="B88" s="2" t="str">
        <f>'Group Matches'!D46</f>
        <v>Jordan</v>
      </c>
      <c r="C88" s="2" t="str">
        <f>'Group Matches'!E46</f>
        <v>Algeria</v>
      </c>
      <c r="D88" s="2">
        <f>IF(ISNUMBER('Group Matches'!F46),'Group Matches'!F46,0)</f>
        <v>2</v>
      </c>
      <c r="E88" s="2">
        <f>IF(ISNUMBER('Group Matches'!G46),'Group Matches'!G46,0)</f>
        <v>2</v>
      </c>
      <c r="F88" s="2">
        <f>IF(AND(ISNUMBER('Group Matches'!F46),ISNUMBER('Group Matches'!G46)),1,0)</f>
        <v>1</v>
      </c>
      <c r="G88" s="2">
        <f t="shared" si="16"/>
        <v>0</v>
      </c>
      <c r="H88" s="2">
        <f t="shared" si="17"/>
        <v>1</v>
      </c>
      <c r="I88" s="2">
        <f t="shared" si="18"/>
        <v>0</v>
      </c>
      <c r="J88" s="2">
        <f t="shared" si="19"/>
        <v>1</v>
      </c>
      <c r="K88" s="2">
        <f>IF(ISNUMBER('Group Matches'!J46),'Group Matches'!J46,0)</f>
        <v>0</v>
      </c>
      <c r="L88" s="2">
        <f>IF(ISNUMBER('Group Matches'!K46),'Group Matches'!K46,0)</f>
        <v>0</v>
      </c>
      <c r="M88" s="2">
        <f>IF(AND(ISNUMBER('Group Matches'!J46),ISNUMBER('Group Matches'!K46)),1,0)</f>
        <v>0</v>
      </c>
      <c r="N88" s="2">
        <f t="shared" si="20"/>
        <v>0</v>
      </c>
      <c r="O88" s="2">
        <f t="shared" si="21"/>
        <v>0</v>
      </c>
      <c r="P88" s="2">
        <f t="shared" si="22"/>
        <v>0</v>
      </c>
      <c r="Q88" s="2">
        <f t="shared" si="23"/>
        <v>0</v>
      </c>
    </row>
    <row r="89" spans="1:17" x14ac:dyDescent="0.2">
      <c r="A89" s="2" t="s">
        <v>56</v>
      </c>
      <c r="B89" s="2" t="str">
        <f>'Group Matches'!E46</f>
        <v>Algeria</v>
      </c>
      <c r="C89" s="2" t="str">
        <f>'Group Matches'!D46</f>
        <v>Jordan</v>
      </c>
      <c r="D89" s="2">
        <f>IF(ISNUMBER('Group Matches'!G46),'Group Matches'!G46,0)</f>
        <v>2</v>
      </c>
      <c r="E89" s="2">
        <f>IF(ISNUMBER('Group Matches'!F46),'Group Matches'!F46,0)</f>
        <v>2</v>
      </c>
      <c r="F89" s="2">
        <f>IF(AND(ISNUMBER('Group Matches'!G46),ISNUMBER('Group Matches'!F46)),1,0)</f>
        <v>1</v>
      </c>
      <c r="G89" s="2">
        <f t="shared" si="16"/>
        <v>0</v>
      </c>
      <c r="H89" s="2">
        <f t="shared" si="17"/>
        <v>1</v>
      </c>
      <c r="I89" s="2">
        <f t="shared" si="18"/>
        <v>0</v>
      </c>
      <c r="J89" s="2">
        <f t="shared" si="19"/>
        <v>1</v>
      </c>
      <c r="K89" s="2">
        <f>IF(ISNUMBER('Group Matches'!K46),'Group Matches'!K46,0)</f>
        <v>0</v>
      </c>
      <c r="L89" s="2">
        <f>IF(ISNUMBER('Group Matches'!J46),'Group Matches'!J46,0)</f>
        <v>0</v>
      </c>
      <c r="M89" s="2">
        <f>IF(AND(ISNUMBER('Group Matches'!K46),ISNUMBER('Group Matches'!J46)),1,0)</f>
        <v>0</v>
      </c>
      <c r="N89" s="2">
        <f t="shared" si="20"/>
        <v>0</v>
      </c>
      <c r="O89" s="2">
        <f t="shared" si="21"/>
        <v>0</v>
      </c>
      <c r="P89" s="2">
        <f t="shared" si="22"/>
        <v>0</v>
      </c>
      <c r="Q89" s="2">
        <f t="shared" si="23"/>
        <v>0</v>
      </c>
    </row>
    <row r="90" spans="1:17" x14ac:dyDescent="0.2">
      <c r="A90" s="2" t="s">
        <v>61</v>
      </c>
      <c r="B90" s="2" t="str">
        <f>'Group Matches'!D47</f>
        <v>Portugal</v>
      </c>
      <c r="C90" s="2" t="str">
        <f>'Group Matches'!E47</f>
        <v>Uzbekistan</v>
      </c>
      <c r="D90" s="2">
        <f>IF(ISNUMBER('Group Matches'!F47),'Group Matches'!F47,0)</f>
        <v>2</v>
      </c>
      <c r="E90" s="2">
        <f>IF(ISNUMBER('Group Matches'!G47),'Group Matches'!G47,0)</f>
        <v>1</v>
      </c>
      <c r="F90" s="2">
        <f>IF(AND(ISNUMBER('Group Matches'!F47),ISNUMBER('Group Matches'!G47)),1,0)</f>
        <v>1</v>
      </c>
      <c r="G90" s="2">
        <f t="shared" si="16"/>
        <v>1</v>
      </c>
      <c r="H90" s="2">
        <f t="shared" si="17"/>
        <v>0</v>
      </c>
      <c r="I90" s="2">
        <f t="shared" si="18"/>
        <v>0</v>
      </c>
      <c r="J90" s="2">
        <f t="shared" si="19"/>
        <v>3</v>
      </c>
      <c r="K90" s="2">
        <f>IF(ISNUMBER('Group Matches'!J47),'Group Matches'!J47,0)</f>
        <v>0</v>
      </c>
      <c r="L90" s="2">
        <f>IF(ISNUMBER('Group Matches'!K47),'Group Matches'!K47,0)</f>
        <v>0</v>
      </c>
      <c r="M90" s="2">
        <f>IF(AND(ISNUMBER('Group Matches'!J47),ISNUMBER('Group Matches'!K47)),1,0)</f>
        <v>0</v>
      </c>
      <c r="N90" s="2">
        <f t="shared" si="20"/>
        <v>0</v>
      </c>
      <c r="O90" s="2">
        <f t="shared" si="21"/>
        <v>0</v>
      </c>
      <c r="P90" s="2">
        <f t="shared" si="22"/>
        <v>0</v>
      </c>
      <c r="Q90" s="2">
        <f t="shared" si="23"/>
        <v>0</v>
      </c>
    </row>
    <row r="91" spans="1:17" x14ac:dyDescent="0.2">
      <c r="A91" s="2" t="s">
        <v>61</v>
      </c>
      <c r="B91" s="2" t="str">
        <f>'Group Matches'!E47</f>
        <v>Uzbekistan</v>
      </c>
      <c r="C91" s="2" t="str">
        <f>'Group Matches'!D47</f>
        <v>Portugal</v>
      </c>
      <c r="D91" s="2">
        <f>IF(ISNUMBER('Group Matches'!G47),'Group Matches'!G47,0)</f>
        <v>1</v>
      </c>
      <c r="E91" s="2">
        <f>IF(ISNUMBER('Group Matches'!F47),'Group Matches'!F47,0)</f>
        <v>2</v>
      </c>
      <c r="F91" s="2">
        <f>IF(AND(ISNUMBER('Group Matches'!G47),ISNUMBER('Group Matches'!F47)),1,0)</f>
        <v>1</v>
      </c>
      <c r="G91" s="2">
        <f t="shared" si="16"/>
        <v>0</v>
      </c>
      <c r="H91" s="2">
        <f t="shared" si="17"/>
        <v>0</v>
      </c>
      <c r="I91" s="2">
        <f t="shared" si="18"/>
        <v>1</v>
      </c>
      <c r="J91" s="2">
        <f t="shared" si="19"/>
        <v>0</v>
      </c>
      <c r="K91" s="2">
        <f>IF(ISNUMBER('Group Matches'!K47),'Group Matches'!K47,0)</f>
        <v>0</v>
      </c>
      <c r="L91" s="2">
        <f>IF(ISNUMBER('Group Matches'!J47),'Group Matches'!J47,0)</f>
        <v>0</v>
      </c>
      <c r="M91" s="2">
        <f>IF(AND(ISNUMBER('Group Matches'!K47),ISNUMBER('Group Matches'!J47)),1,0)</f>
        <v>0</v>
      </c>
      <c r="N91" s="2">
        <f t="shared" si="20"/>
        <v>0</v>
      </c>
      <c r="O91" s="2">
        <f t="shared" si="21"/>
        <v>0</v>
      </c>
      <c r="P91" s="2">
        <f t="shared" si="22"/>
        <v>0</v>
      </c>
      <c r="Q91" s="2">
        <f t="shared" si="23"/>
        <v>0</v>
      </c>
    </row>
    <row r="92" spans="1:17" x14ac:dyDescent="0.2">
      <c r="A92" s="2" t="s">
        <v>66</v>
      </c>
      <c r="B92" s="2" t="str">
        <f>'Group Matches'!D48</f>
        <v>England</v>
      </c>
      <c r="C92" s="2" t="str">
        <f>'Group Matches'!E48</f>
        <v>Ghana</v>
      </c>
      <c r="D92" s="2">
        <f>IF(ISNUMBER('Group Matches'!F48),'Group Matches'!F48,0)</f>
        <v>2</v>
      </c>
      <c r="E92" s="2">
        <f>IF(ISNUMBER('Group Matches'!G48),'Group Matches'!G48,0)</f>
        <v>1</v>
      </c>
      <c r="F92" s="2">
        <f>IF(AND(ISNUMBER('Group Matches'!F48),ISNUMBER('Group Matches'!G48)),1,0)</f>
        <v>1</v>
      </c>
      <c r="G92" s="2">
        <f t="shared" si="16"/>
        <v>1</v>
      </c>
      <c r="H92" s="2">
        <f t="shared" si="17"/>
        <v>0</v>
      </c>
      <c r="I92" s="2">
        <f t="shared" si="18"/>
        <v>0</v>
      </c>
      <c r="J92" s="2">
        <f t="shared" si="19"/>
        <v>3</v>
      </c>
      <c r="K92" s="2">
        <f>IF(ISNUMBER('Group Matches'!J48),'Group Matches'!J48,0)</f>
        <v>0</v>
      </c>
      <c r="L92" s="2">
        <f>IF(ISNUMBER('Group Matches'!K48),'Group Matches'!K48,0)</f>
        <v>0</v>
      </c>
      <c r="M92" s="2">
        <f>IF(AND(ISNUMBER('Group Matches'!J48),ISNUMBER('Group Matches'!K48)),1,0)</f>
        <v>0</v>
      </c>
      <c r="N92" s="2">
        <f t="shared" si="20"/>
        <v>0</v>
      </c>
      <c r="O92" s="2">
        <f t="shared" si="21"/>
        <v>0</v>
      </c>
      <c r="P92" s="2">
        <f t="shared" si="22"/>
        <v>0</v>
      </c>
      <c r="Q92" s="2">
        <f t="shared" si="23"/>
        <v>0</v>
      </c>
    </row>
    <row r="93" spans="1:17" x14ac:dyDescent="0.2">
      <c r="A93" s="2" t="s">
        <v>66</v>
      </c>
      <c r="B93" s="2" t="str">
        <f>'Group Matches'!E48</f>
        <v>Ghana</v>
      </c>
      <c r="C93" s="2" t="str">
        <f>'Group Matches'!D48</f>
        <v>England</v>
      </c>
      <c r="D93" s="2">
        <f>IF(ISNUMBER('Group Matches'!G48),'Group Matches'!G48,0)</f>
        <v>1</v>
      </c>
      <c r="E93" s="2">
        <f>IF(ISNUMBER('Group Matches'!F48),'Group Matches'!F48,0)</f>
        <v>2</v>
      </c>
      <c r="F93" s="2">
        <f>IF(AND(ISNUMBER('Group Matches'!G48),ISNUMBER('Group Matches'!F48)),1,0)</f>
        <v>1</v>
      </c>
      <c r="G93" s="2">
        <f t="shared" si="16"/>
        <v>0</v>
      </c>
      <c r="H93" s="2">
        <f t="shared" si="17"/>
        <v>0</v>
      </c>
      <c r="I93" s="2">
        <f t="shared" si="18"/>
        <v>1</v>
      </c>
      <c r="J93" s="2">
        <f t="shared" si="19"/>
        <v>0</v>
      </c>
      <c r="K93" s="2">
        <f>IF(ISNUMBER('Group Matches'!K48),'Group Matches'!K48,0)</f>
        <v>0</v>
      </c>
      <c r="L93" s="2">
        <f>IF(ISNUMBER('Group Matches'!J48),'Group Matches'!J48,0)</f>
        <v>0</v>
      </c>
      <c r="M93" s="2">
        <f>IF(AND(ISNUMBER('Group Matches'!K48),ISNUMBER('Group Matches'!J48)),1,0)</f>
        <v>0</v>
      </c>
      <c r="N93" s="2">
        <f t="shared" si="20"/>
        <v>0</v>
      </c>
      <c r="O93" s="2">
        <f t="shared" si="21"/>
        <v>0</v>
      </c>
      <c r="P93" s="2">
        <f t="shared" si="22"/>
        <v>0</v>
      </c>
      <c r="Q93" s="2">
        <f t="shared" si="23"/>
        <v>0</v>
      </c>
    </row>
    <row r="94" spans="1:17" x14ac:dyDescent="0.2">
      <c r="A94" s="2" t="s">
        <v>66</v>
      </c>
      <c r="B94" s="2" t="str">
        <f>'Group Matches'!D49</f>
        <v>Panama</v>
      </c>
      <c r="C94" s="2" t="str">
        <f>'Group Matches'!E49</f>
        <v>Croatia</v>
      </c>
      <c r="D94" s="2">
        <f>IF(ISNUMBER('Group Matches'!F49),'Group Matches'!F49,0)</f>
        <v>0</v>
      </c>
      <c r="E94" s="2">
        <f>IF(ISNUMBER('Group Matches'!G49),'Group Matches'!G49,0)</f>
        <v>2</v>
      </c>
      <c r="F94" s="2">
        <f>IF(AND(ISNUMBER('Group Matches'!F49),ISNUMBER('Group Matches'!G49)),1,0)</f>
        <v>1</v>
      </c>
      <c r="G94" s="2">
        <f t="shared" si="16"/>
        <v>0</v>
      </c>
      <c r="H94" s="2">
        <f t="shared" si="17"/>
        <v>0</v>
      </c>
      <c r="I94" s="2">
        <f t="shared" si="18"/>
        <v>1</v>
      </c>
      <c r="J94" s="2">
        <f t="shared" si="19"/>
        <v>0</v>
      </c>
      <c r="K94" s="2">
        <f>IF(ISNUMBER('Group Matches'!J49),'Group Matches'!J49,0)</f>
        <v>0</v>
      </c>
      <c r="L94" s="2">
        <f>IF(ISNUMBER('Group Matches'!K49),'Group Matches'!K49,0)</f>
        <v>0</v>
      </c>
      <c r="M94" s="2">
        <f>IF(AND(ISNUMBER('Group Matches'!J49),ISNUMBER('Group Matches'!K49)),1,0)</f>
        <v>0</v>
      </c>
      <c r="N94" s="2">
        <f t="shared" si="20"/>
        <v>0</v>
      </c>
      <c r="O94" s="2">
        <f t="shared" si="21"/>
        <v>0</v>
      </c>
      <c r="P94" s="2">
        <f t="shared" si="22"/>
        <v>0</v>
      </c>
      <c r="Q94" s="2">
        <f t="shared" si="23"/>
        <v>0</v>
      </c>
    </row>
    <row r="95" spans="1:17" x14ac:dyDescent="0.2">
      <c r="A95" s="2" t="s">
        <v>66</v>
      </c>
      <c r="B95" s="2" t="str">
        <f>'Group Matches'!E49</f>
        <v>Croatia</v>
      </c>
      <c r="C95" s="2" t="str">
        <f>'Group Matches'!D49</f>
        <v>Panama</v>
      </c>
      <c r="D95" s="2">
        <f>IF(ISNUMBER('Group Matches'!G49),'Group Matches'!G49,0)</f>
        <v>2</v>
      </c>
      <c r="E95" s="2">
        <f>IF(ISNUMBER('Group Matches'!F49),'Group Matches'!F49,0)</f>
        <v>0</v>
      </c>
      <c r="F95" s="2">
        <f>IF(AND(ISNUMBER('Group Matches'!G49),ISNUMBER('Group Matches'!F49)),1,0)</f>
        <v>1</v>
      </c>
      <c r="G95" s="2">
        <f t="shared" si="16"/>
        <v>1</v>
      </c>
      <c r="H95" s="2">
        <f t="shared" si="17"/>
        <v>0</v>
      </c>
      <c r="I95" s="2">
        <f t="shared" si="18"/>
        <v>0</v>
      </c>
      <c r="J95" s="2">
        <f t="shared" si="19"/>
        <v>3</v>
      </c>
      <c r="K95" s="2">
        <f>IF(ISNUMBER('Group Matches'!K49),'Group Matches'!K49,0)</f>
        <v>0</v>
      </c>
      <c r="L95" s="2">
        <f>IF(ISNUMBER('Group Matches'!J49),'Group Matches'!J49,0)</f>
        <v>0</v>
      </c>
      <c r="M95" s="2">
        <f>IF(AND(ISNUMBER('Group Matches'!K49),ISNUMBER('Group Matches'!J49)),1,0)</f>
        <v>0</v>
      </c>
      <c r="N95" s="2">
        <f t="shared" si="20"/>
        <v>0</v>
      </c>
      <c r="O95" s="2">
        <f t="shared" si="21"/>
        <v>0</v>
      </c>
      <c r="P95" s="2">
        <f t="shared" si="22"/>
        <v>0</v>
      </c>
      <c r="Q95" s="2">
        <f t="shared" si="23"/>
        <v>0</v>
      </c>
    </row>
    <row r="96" spans="1:17" x14ac:dyDescent="0.2">
      <c r="A96" s="2" t="s">
        <v>61</v>
      </c>
      <c r="B96" s="2" t="str">
        <f>'Group Matches'!D50</f>
        <v>Colombia</v>
      </c>
      <c r="C96" s="2" t="str">
        <f>'Group Matches'!E50</f>
        <v>DR Congo</v>
      </c>
      <c r="D96" s="2">
        <f>IF(ISNUMBER('Group Matches'!F50),'Group Matches'!F50,0)</f>
        <v>1</v>
      </c>
      <c r="E96" s="2">
        <f>IF(ISNUMBER('Group Matches'!G50),'Group Matches'!G50,0)</f>
        <v>0</v>
      </c>
      <c r="F96" s="2">
        <f>IF(AND(ISNUMBER('Group Matches'!F50),ISNUMBER('Group Matches'!G50)),1,0)</f>
        <v>1</v>
      </c>
      <c r="G96" s="2">
        <f t="shared" si="16"/>
        <v>1</v>
      </c>
      <c r="H96" s="2">
        <f t="shared" si="17"/>
        <v>0</v>
      </c>
      <c r="I96" s="2">
        <f t="shared" si="18"/>
        <v>0</v>
      </c>
      <c r="J96" s="2">
        <f t="shared" si="19"/>
        <v>3</v>
      </c>
      <c r="K96" s="2">
        <f>IF(ISNUMBER('Group Matches'!J50),'Group Matches'!J50,0)</f>
        <v>0</v>
      </c>
      <c r="L96" s="2">
        <f>IF(ISNUMBER('Group Matches'!K50),'Group Matches'!K50,0)</f>
        <v>0</v>
      </c>
      <c r="M96" s="2">
        <f>IF(AND(ISNUMBER('Group Matches'!J50),ISNUMBER('Group Matches'!K50)),1,0)</f>
        <v>0</v>
      </c>
      <c r="N96" s="2">
        <f t="shared" si="20"/>
        <v>0</v>
      </c>
      <c r="O96" s="2">
        <f t="shared" si="21"/>
        <v>0</v>
      </c>
      <c r="P96" s="2">
        <f t="shared" si="22"/>
        <v>0</v>
      </c>
      <c r="Q96" s="2">
        <f t="shared" si="23"/>
        <v>0</v>
      </c>
    </row>
    <row r="97" spans="1:17" x14ac:dyDescent="0.2">
      <c r="A97" s="2" t="s">
        <v>61</v>
      </c>
      <c r="B97" s="2" t="str">
        <f>'Group Matches'!E50</f>
        <v>DR Congo</v>
      </c>
      <c r="C97" s="2" t="str">
        <f>'Group Matches'!D50</f>
        <v>Colombia</v>
      </c>
      <c r="D97" s="2">
        <f>IF(ISNUMBER('Group Matches'!G50),'Group Matches'!G50,0)</f>
        <v>0</v>
      </c>
      <c r="E97" s="2">
        <f>IF(ISNUMBER('Group Matches'!F50),'Group Matches'!F50,0)</f>
        <v>1</v>
      </c>
      <c r="F97" s="2">
        <f>IF(AND(ISNUMBER('Group Matches'!G50),ISNUMBER('Group Matches'!F50)),1,0)</f>
        <v>1</v>
      </c>
      <c r="G97" s="2">
        <f t="shared" si="16"/>
        <v>0</v>
      </c>
      <c r="H97" s="2">
        <f t="shared" si="17"/>
        <v>0</v>
      </c>
      <c r="I97" s="2">
        <f t="shared" si="18"/>
        <v>1</v>
      </c>
      <c r="J97" s="2">
        <f t="shared" si="19"/>
        <v>0</v>
      </c>
      <c r="K97" s="2">
        <f>IF(ISNUMBER('Group Matches'!K50),'Group Matches'!K50,0)</f>
        <v>0</v>
      </c>
      <c r="L97" s="2">
        <f>IF(ISNUMBER('Group Matches'!J50),'Group Matches'!J50,0)</f>
        <v>0</v>
      </c>
      <c r="M97" s="2">
        <f>IF(AND(ISNUMBER('Group Matches'!K50),ISNUMBER('Group Matches'!J50)),1,0)</f>
        <v>0</v>
      </c>
      <c r="N97" s="2">
        <f t="shared" si="20"/>
        <v>0</v>
      </c>
      <c r="O97" s="2">
        <f t="shared" si="21"/>
        <v>0</v>
      </c>
      <c r="P97" s="2">
        <f t="shared" si="22"/>
        <v>0</v>
      </c>
      <c r="Q97" s="2">
        <f t="shared" si="23"/>
        <v>0</v>
      </c>
    </row>
    <row r="98" spans="1:17" x14ac:dyDescent="0.2">
      <c r="A98" s="2" t="s">
        <v>13</v>
      </c>
      <c r="B98" s="2" t="str">
        <f>'Group Matches'!D51</f>
        <v>Switzerland</v>
      </c>
      <c r="C98" s="2" t="str">
        <f>'Group Matches'!E51</f>
        <v>Canada</v>
      </c>
      <c r="D98" s="2">
        <f>IF(ISNUMBER('Group Matches'!F51),'Group Matches'!F51,0)</f>
        <v>1</v>
      </c>
      <c r="E98" s="2">
        <f>IF(ISNUMBER('Group Matches'!G51),'Group Matches'!G51,0)</f>
        <v>1</v>
      </c>
      <c r="F98" s="2">
        <f>IF(AND(ISNUMBER('Group Matches'!F51),ISNUMBER('Group Matches'!G51)),1,0)</f>
        <v>1</v>
      </c>
      <c r="G98" s="2">
        <f t="shared" ref="G98:G129" si="24">IF(AND(F98=1,D98&gt;E98),1,0)</f>
        <v>0</v>
      </c>
      <c r="H98" s="2">
        <f t="shared" ref="H98:H129" si="25">IF(AND(F98=1,D98=E98),1,0)</f>
        <v>1</v>
      </c>
      <c r="I98" s="2">
        <f t="shared" ref="I98:I129" si="26">IF(AND(F98=1,D98&lt;E98),1,0)</f>
        <v>0</v>
      </c>
      <c r="J98" s="2">
        <f t="shared" ref="J98:J129" si="27">3*G98+H98</f>
        <v>1</v>
      </c>
      <c r="K98" s="2">
        <f>IF(ISNUMBER('Group Matches'!J51),'Group Matches'!J51,0)</f>
        <v>0</v>
      </c>
      <c r="L98" s="2">
        <f>IF(ISNUMBER('Group Matches'!K51),'Group Matches'!K51,0)</f>
        <v>0</v>
      </c>
      <c r="M98" s="2">
        <f>IF(AND(ISNUMBER('Group Matches'!J51),ISNUMBER('Group Matches'!K51)),1,0)</f>
        <v>0</v>
      </c>
      <c r="N98" s="2">
        <f t="shared" ref="N98:N129" si="28">IF(AND(M98=1,K98&gt;L98),1,0)</f>
        <v>0</v>
      </c>
      <c r="O98" s="2">
        <f t="shared" ref="O98:O129" si="29">IF(AND(M98=1,K98=L98),1,0)</f>
        <v>0</v>
      </c>
      <c r="P98" s="2">
        <f t="shared" ref="P98:P129" si="30">IF(AND(M98=1,K98&lt;L98),1,0)</f>
        <v>0</v>
      </c>
      <c r="Q98" s="2">
        <f t="shared" ref="Q98:Q129" si="31">3*N98+O98</f>
        <v>0</v>
      </c>
    </row>
    <row r="99" spans="1:17" x14ac:dyDescent="0.2">
      <c r="A99" s="2" t="s">
        <v>13</v>
      </c>
      <c r="B99" s="2" t="str">
        <f>'Group Matches'!E51</f>
        <v>Canada</v>
      </c>
      <c r="C99" s="2" t="str">
        <f>'Group Matches'!D51</f>
        <v>Switzerland</v>
      </c>
      <c r="D99" s="2">
        <f>IF(ISNUMBER('Group Matches'!G51),'Group Matches'!G51,0)</f>
        <v>1</v>
      </c>
      <c r="E99" s="2">
        <f>IF(ISNUMBER('Group Matches'!F51),'Group Matches'!F51,0)</f>
        <v>1</v>
      </c>
      <c r="F99" s="2">
        <f>IF(AND(ISNUMBER('Group Matches'!G51),ISNUMBER('Group Matches'!F51)),1,0)</f>
        <v>1</v>
      </c>
      <c r="G99" s="2">
        <f t="shared" si="24"/>
        <v>0</v>
      </c>
      <c r="H99" s="2">
        <f t="shared" si="25"/>
        <v>1</v>
      </c>
      <c r="I99" s="2">
        <f t="shared" si="26"/>
        <v>0</v>
      </c>
      <c r="J99" s="2">
        <f t="shared" si="27"/>
        <v>1</v>
      </c>
      <c r="K99" s="2">
        <f>IF(ISNUMBER('Group Matches'!K51),'Group Matches'!K51,0)</f>
        <v>0</v>
      </c>
      <c r="L99" s="2">
        <f>IF(ISNUMBER('Group Matches'!J51),'Group Matches'!J51,0)</f>
        <v>0</v>
      </c>
      <c r="M99" s="2">
        <f>IF(AND(ISNUMBER('Group Matches'!K51),ISNUMBER('Group Matches'!J51)),1,0)</f>
        <v>0</v>
      </c>
      <c r="N99" s="2">
        <f t="shared" si="28"/>
        <v>0</v>
      </c>
      <c r="O99" s="2">
        <f t="shared" si="29"/>
        <v>0</v>
      </c>
      <c r="P99" s="2">
        <f t="shared" si="30"/>
        <v>0</v>
      </c>
      <c r="Q99" s="2">
        <f t="shared" si="31"/>
        <v>0</v>
      </c>
    </row>
    <row r="100" spans="1:17" x14ac:dyDescent="0.2">
      <c r="A100" s="2" t="s">
        <v>13</v>
      </c>
      <c r="B100" s="2" t="str">
        <f>'Group Matches'!D52</f>
        <v>Bosnia &amp; Herzegovina</v>
      </c>
      <c r="C100" s="2" t="str">
        <f>'Group Matches'!E52</f>
        <v>Qatar</v>
      </c>
      <c r="D100" s="2">
        <f>IF(ISNUMBER('Group Matches'!F52),'Group Matches'!F52,0)</f>
        <v>2</v>
      </c>
      <c r="E100" s="2">
        <f>IF(ISNUMBER('Group Matches'!G52),'Group Matches'!G52,0)</f>
        <v>0</v>
      </c>
      <c r="F100" s="2">
        <f>IF(AND(ISNUMBER('Group Matches'!F52),ISNUMBER('Group Matches'!G52)),1,0)</f>
        <v>1</v>
      </c>
      <c r="G100" s="2">
        <f t="shared" si="24"/>
        <v>1</v>
      </c>
      <c r="H100" s="2">
        <f t="shared" si="25"/>
        <v>0</v>
      </c>
      <c r="I100" s="2">
        <f t="shared" si="26"/>
        <v>0</v>
      </c>
      <c r="J100" s="2">
        <f t="shared" si="27"/>
        <v>3</v>
      </c>
      <c r="K100" s="2">
        <f>IF(ISNUMBER('Group Matches'!J52),'Group Matches'!J52,0)</f>
        <v>0</v>
      </c>
      <c r="L100" s="2">
        <f>IF(ISNUMBER('Group Matches'!K52),'Group Matches'!K52,0)</f>
        <v>0</v>
      </c>
      <c r="M100" s="2">
        <f>IF(AND(ISNUMBER('Group Matches'!J52),ISNUMBER('Group Matches'!K52)),1,0)</f>
        <v>0</v>
      </c>
      <c r="N100" s="2">
        <f t="shared" si="28"/>
        <v>0</v>
      </c>
      <c r="O100" s="2">
        <f t="shared" si="29"/>
        <v>0</v>
      </c>
      <c r="P100" s="2">
        <f t="shared" si="30"/>
        <v>0</v>
      </c>
      <c r="Q100" s="2">
        <f t="shared" si="31"/>
        <v>0</v>
      </c>
    </row>
    <row r="101" spans="1:17" x14ac:dyDescent="0.2">
      <c r="A101" s="2" t="s">
        <v>13</v>
      </c>
      <c r="B101" s="2" t="str">
        <f>'Group Matches'!E52</f>
        <v>Qatar</v>
      </c>
      <c r="C101" s="2" t="str">
        <f>'Group Matches'!D52</f>
        <v>Bosnia &amp; Herzegovina</v>
      </c>
      <c r="D101" s="2">
        <f>IF(ISNUMBER('Group Matches'!G52),'Group Matches'!G52,0)</f>
        <v>0</v>
      </c>
      <c r="E101" s="2">
        <f>IF(ISNUMBER('Group Matches'!F52),'Group Matches'!F52,0)</f>
        <v>2</v>
      </c>
      <c r="F101" s="2">
        <f>IF(AND(ISNUMBER('Group Matches'!G52),ISNUMBER('Group Matches'!F52)),1,0)</f>
        <v>1</v>
      </c>
      <c r="G101" s="2">
        <f t="shared" si="24"/>
        <v>0</v>
      </c>
      <c r="H101" s="2">
        <f t="shared" si="25"/>
        <v>0</v>
      </c>
      <c r="I101" s="2">
        <f t="shared" si="26"/>
        <v>1</v>
      </c>
      <c r="J101" s="2">
        <f t="shared" si="27"/>
        <v>0</v>
      </c>
      <c r="K101" s="2">
        <f>IF(ISNUMBER('Group Matches'!K52),'Group Matches'!K52,0)</f>
        <v>0</v>
      </c>
      <c r="L101" s="2">
        <f>IF(ISNUMBER('Group Matches'!J52),'Group Matches'!J52,0)</f>
        <v>0</v>
      </c>
      <c r="M101" s="2">
        <f>IF(AND(ISNUMBER('Group Matches'!K52),ISNUMBER('Group Matches'!J52)),1,0)</f>
        <v>0</v>
      </c>
      <c r="N101" s="2">
        <f t="shared" si="28"/>
        <v>0</v>
      </c>
      <c r="O101" s="2">
        <f t="shared" si="29"/>
        <v>0</v>
      </c>
      <c r="P101" s="2">
        <f t="shared" si="30"/>
        <v>0</v>
      </c>
      <c r="Q101" s="2">
        <f t="shared" si="31"/>
        <v>0</v>
      </c>
    </row>
    <row r="102" spans="1:17" x14ac:dyDescent="0.2">
      <c r="A102" s="2" t="s">
        <v>18</v>
      </c>
      <c r="B102" s="2" t="str">
        <f>'Group Matches'!D53</f>
        <v>Scotland</v>
      </c>
      <c r="C102" s="2" t="str">
        <f>'Group Matches'!E53</f>
        <v>Brazil</v>
      </c>
      <c r="D102" s="2">
        <f>IF(ISNUMBER('Group Matches'!F53),'Group Matches'!F53,0)</f>
        <v>1</v>
      </c>
      <c r="E102" s="2">
        <f>IF(ISNUMBER('Group Matches'!G53),'Group Matches'!G53,0)</f>
        <v>2</v>
      </c>
      <c r="F102" s="2">
        <f>IF(AND(ISNUMBER('Group Matches'!F53),ISNUMBER('Group Matches'!G53)),1,0)</f>
        <v>1</v>
      </c>
      <c r="G102" s="2">
        <f t="shared" si="24"/>
        <v>0</v>
      </c>
      <c r="H102" s="2">
        <f t="shared" si="25"/>
        <v>0</v>
      </c>
      <c r="I102" s="2">
        <f t="shared" si="26"/>
        <v>1</v>
      </c>
      <c r="J102" s="2">
        <f t="shared" si="27"/>
        <v>0</v>
      </c>
      <c r="K102" s="2">
        <f>IF(ISNUMBER('Group Matches'!J53),'Group Matches'!J53,0)</f>
        <v>0</v>
      </c>
      <c r="L102" s="2">
        <f>IF(ISNUMBER('Group Matches'!K53),'Group Matches'!K53,0)</f>
        <v>0</v>
      </c>
      <c r="M102" s="2">
        <f>IF(AND(ISNUMBER('Group Matches'!J53),ISNUMBER('Group Matches'!K53)),1,0)</f>
        <v>0</v>
      </c>
      <c r="N102" s="2">
        <f t="shared" si="28"/>
        <v>0</v>
      </c>
      <c r="O102" s="2">
        <f t="shared" si="29"/>
        <v>0</v>
      </c>
      <c r="P102" s="2">
        <f t="shared" si="30"/>
        <v>0</v>
      </c>
      <c r="Q102" s="2">
        <f t="shared" si="31"/>
        <v>0</v>
      </c>
    </row>
    <row r="103" spans="1:17" x14ac:dyDescent="0.2">
      <c r="A103" s="2" t="s">
        <v>18</v>
      </c>
      <c r="B103" s="2" t="str">
        <f>'Group Matches'!E53</f>
        <v>Brazil</v>
      </c>
      <c r="C103" s="2" t="str">
        <f>'Group Matches'!D53</f>
        <v>Scotland</v>
      </c>
      <c r="D103" s="2">
        <f>IF(ISNUMBER('Group Matches'!G53),'Group Matches'!G53,0)</f>
        <v>2</v>
      </c>
      <c r="E103" s="2">
        <f>IF(ISNUMBER('Group Matches'!F53),'Group Matches'!F53,0)</f>
        <v>1</v>
      </c>
      <c r="F103" s="2">
        <f>IF(AND(ISNUMBER('Group Matches'!G53),ISNUMBER('Group Matches'!F53)),1,0)</f>
        <v>1</v>
      </c>
      <c r="G103" s="2">
        <f t="shared" si="24"/>
        <v>1</v>
      </c>
      <c r="H103" s="2">
        <f t="shared" si="25"/>
        <v>0</v>
      </c>
      <c r="I103" s="2">
        <f t="shared" si="26"/>
        <v>0</v>
      </c>
      <c r="J103" s="2">
        <f t="shared" si="27"/>
        <v>3</v>
      </c>
      <c r="K103" s="2">
        <f>IF(ISNUMBER('Group Matches'!K53),'Group Matches'!K53,0)</f>
        <v>0</v>
      </c>
      <c r="L103" s="2">
        <f>IF(ISNUMBER('Group Matches'!J53),'Group Matches'!J53,0)</f>
        <v>0</v>
      </c>
      <c r="M103" s="2">
        <f>IF(AND(ISNUMBER('Group Matches'!K53),ISNUMBER('Group Matches'!J53)),1,0)</f>
        <v>0</v>
      </c>
      <c r="N103" s="2">
        <f t="shared" si="28"/>
        <v>0</v>
      </c>
      <c r="O103" s="2">
        <f t="shared" si="29"/>
        <v>0</v>
      </c>
      <c r="P103" s="2">
        <f t="shared" si="30"/>
        <v>0</v>
      </c>
      <c r="Q103" s="2">
        <f t="shared" si="31"/>
        <v>0</v>
      </c>
    </row>
    <row r="104" spans="1:17" x14ac:dyDescent="0.2">
      <c r="A104" s="2" t="s">
        <v>18</v>
      </c>
      <c r="B104" s="2" t="str">
        <f>'Group Matches'!D54</f>
        <v>Morocco</v>
      </c>
      <c r="C104" s="2" t="str">
        <f>'Group Matches'!E54</f>
        <v>Haiti</v>
      </c>
      <c r="D104" s="2">
        <f>IF(ISNUMBER('Group Matches'!F54),'Group Matches'!F54,0)</f>
        <v>3</v>
      </c>
      <c r="E104" s="2">
        <f>IF(ISNUMBER('Group Matches'!G54),'Group Matches'!G54,0)</f>
        <v>0</v>
      </c>
      <c r="F104" s="2">
        <f>IF(AND(ISNUMBER('Group Matches'!F54),ISNUMBER('Group Matches'!G54)),1,0)</f>
        <v>1</v>
      </c>
      <c r="G104" s="2">
        <f t="shared" si="24"/>
        <v>1</v>
      </c>
      <c r="H104" s="2">
        <f t="shared" si="25"/>
        <v>0</v>
      </c>
      <c r="I104" s="2">
        <f t="shared" si="26"/>
        <v>0</v>
      </c>
      <c r="J104" s="2">
        <f t="shared" si="27"/>
        <v>3</v>
      </c>
      <c r="K104" s="2">
        <f>IF(ISNUMBER('Group Matches'!J54),'Group Matches'!J54,0)</f>
        <v>0</v>
      </c>
      <c r="L104" s="2">
        <f>IF(ISNUMBER('Group Matches'!K54),'Group Matches'!K54,0)</f>
        <v>0</v>
      </c>
      <c r="M104" s="2">
        <f>IF(AND(ISNUMBER('Group Matches'!J54),ISNUMBER('Group Matches'!K54)),1,0)</f>
        <v>0</v>
      </c>
      <c r="N104" s="2">
        <f t="shared" si="28"/>
        <v>0</v>
      </c>
      <c r="O104" s="2">
        <f t="shared" si="29"/>
        <v>0</v>
      </c>
      <c r="P104" s="2">
        <f t="shared" si="30"/>
        <v>0</v>
      </c>
      <c r="Q104" s="2">
        <f t="shared" si="31"/>
        <v>0</v>
      </c>
    </row>
    <row r="105" spans="1:17" x14ac:dyDescent="0.2">
      <c r="A105" s="2" t="s">
        <v>18</v>
      </c>
      <c r="B105" s="2" t="str">
        <f>'Group Matches'!E54</f>
        <v>Haiti</v>
      </c>
      <c r="C105" s="2" t="str">
        <f>'Group Matches'!D54</f>
        <v>Morocco</v>
      </c>
      <c r="D105" s="2">
        <f>IF(ISNUMBER('Group Matches'!G54),'Group Matches'!G54,0)</f>
        <v>0</v>
      </c>
      <c r="E105" s="2">
        <f>IF(ISNUMBER('Group Matches'!F54),'Group Matches'!F54,0)</f>
        <v>3</v>
      </c>
      <c r="F105" s="2">
        <f>IF(AND(ISNUMBER('Group Matches'!G54),ISNUMBER('Group Matches'!F54)),1,0)</f>
        <v>1</v>
      </c>
      <c r="G105" s="2">
        <f t="shared" si="24"/>
        <v>0</v>
      </c>
      <c r="H105" s="2">
        <f t="shared" si="25"/>
        <v>0</v>
      </c>
      <c r="I105" s="2">
        <f t="shared" si="26"/>
        <v>1</v>
      </c>
      <c r="J105" s="2">
        <f t="shared" si="27"/>
        <v>0</v>
      </c>
      <c r="K105" s="2">
        <f>IF(ISNUMBER('Group Matches'!K54),'Group Matches'!K54,0)</f>
        <v>0</v>
      </c>
      <c r="L105" s="2">
        <f>IF(ISNUMBER('Group Matches'!J54),'Group Matches'!J54,0)</f>
        <v>0</v>
      </c>
      <c r="M105" s="2">
        <f>IF(AND(ISNUMBER('Group Matches'!K54),ISNUMBER('Group Matches'!J54)),1,0)</f>
        <v>0</v>
      </c>
      <c r="N105" s="2">
        <f t="shared" si="28"/>
        <v>0</v>
      </c>
      <c r="O105" s="2">
        <f t="shared" si="29"/>
        <v>0</v>
      </c>
      <c r="P105" s="2">
        <f t="shared" si="30"/>
        <v>0</v>
      </c>
      <c r="Q105" s="2">
        <f t="shared" si="31"/>
        <v>0</v>
      </c>
    </row>
    <row r="106" spans="1:17" x14ac:dyDescent="0.2">
      <c r="A106" s="2" t="s">
        <v>4</v>
      </c>
      <c r="B106" s="2" t="str">
        <f>'Group Matches'!D55</f>
        <v>Czechia</v>
      </c>
      <c r="C106" s="2" t="str">
        <f>'Group Matches'!E55</f>
        <v>Mexico</v>
      </c>
      <c r="D106" s="2">
        <f>IF(ISNUMBER('Group Matches'!F55),'Group Matches'!F55,0)</f>
        <v>1</v>
      </c>
      <c r="E106" s="2">
        <f>IF(ISNUMBER('Group Matches'!G55),'Group Matches'!G55,0)</f>
        <v>2</v>
      </c>
      <c r="F106" s="2">
        <f>IF(AND(ISNUMBER('Group Matches'!F55),ISNUMBER('Group Matches'!G55)),1,0)</f>
        <v>1</v>
      </c>
      <c r="G106" s="2">
        <f t="shared" si="24"/>
        <v>0</v>
      </c>
      <c r="H106" s="2">
        <f t="shared" si="25"/>
        <v>0</v>
      </c>
      <c r="I106" s="2">
        <f t="shared" si="26"/>
        <v>1</v>
      </c>
      <c r="J106" s="2">
        <f t="shared" si="27"/>
        <v>0</v>
      </c>
      <c r="K106" s="2">
        <f>IF(ISNUMBER('Group Matches'!J55),'Group Matches'!J55,0)</f>
        <v>0</v>
      </c>
      <c r="L106" s="2">
        <f>IF(ISNUMBER('Group Matches'!K55),'Group Matches'!K55,0)</f>
        <v>0</v>
      </c>
      <c r="M106" s="2">
        <f>IF(AND(ISNUMBER('Group Matches'!J55),ISNUMBER('Group Matches'!K55)),1,0)</f>
        <v>0</v>
      </c>
      <c r="N106" s="2">
        <f t="shared" si="28"/>
        <v>0</v>
      </c>
      <c r="O106" s="2">
        <f t="shared" si="29"/>
        <v>0</v>
      </c>
      <c r="P106" s="2">
        <f t="shared" si="30"/>
        <v>0</v>
      </c>
      <c r="Q106" s="2">
        <f t="shared" si="31"/>
        <v>0</v>
      </c>
    </row>
    <row r="107" spans="1:17" x14ac:dyDescent="0.2">
      <c r="A107" s="2" t="s">
        <v>4</v>
      </c>
      <c r="B107" s="2" t="str">
        <f>'Group Matches'!E55</f>
        <v>Mexico</v>
      </c>
      <c r="C107" s="2" t="str">
        <f>'Group Matches'!D55</f>
        <v>Czechia</v>
      </c>
      <c r="D107" s="2">
        <f>IF(ISNUMBER('Group Matches'!G55),'Group Matches'!G55,0)</f>
        <v>2</v>
      </c>
      <c r="E107" s="2">
        <f>IF(ISNUMBER('Group Matches'!F55),'Group Matches'!F55,0)</f>
        <v>1</v>
      </c>
      <c r="F107" s="2">
        <f>IF(AND(ISNUMBER('Group Matches'!G55),ISNUMBER('Group Matches'!F55)),1,0)</f>
        <v>1</v>
      </c>
      <c r="G107" s="2">
        <f t="shared" si="24"/>
        <v>1</v>
      </c>
      <c r="H107" s="2">
        <f t="shared" si="25"/>
        <v>0</v>
      </c>
      <c r="I107" s="2">
        <f t="shared" si="26"/>
        <v>0</v>
      </c>
      <c r="J107" s="2">
        <f t="shared" si="27"/>
        <v>3</v>
      </c>
      <c r="K107" s="2">
        <f>IF(ISNUMBER('Group Matches'!K55),'Group Matches'!K55,0)</f>
        <v>0</v>
      </c>
      <c r="L107" s="2">
        <f>IF(ISNUMBER('Group Matches'!J55),'Group Matches'!J55,0)</f>
        <v>0</v>
      </c>
      <c r="M107" s="2">
        <f>IF(AND(ISNUMBER('Group Matches'!K55),ISNUMBER('Group Matches'!J55)),1,0)</f>
        <v>0</v>
      </c>
      <c r="N107" s="2">
        <f t="shared" si="28"/>
        <v>0</v>
      </c>
      <c r="O107" s="2">
        <f t="shared" si="29"/>
        <v>0</v>
      </c>
      <c r="P107" s="2">
        <f t="shared" si="30"/>
        <v>0</v>
      </c>
      <c r="Q107" s="2">
        <f t="shared" si="31"/>
        <v>0</v>
      </c>
    </row>
    <row r="108" spans="1:17" x14ac:dyDescent="0.2">
      <c r="A108" s="2" t="s">
        <v>4</v>
      </c>
      <c r="B108" s="2" t="str">
        <f>'Group Matches'!D56</f>
        <v>South Africa</v>
      </c>
      <c r="C108" s="2" t="str">
        <f>'Group Matches'!E56</f>
        <v>South Korea</v>
      </c>
      <c r="D108" s="2">
        <f>IF(ISNUMBER('Group Matches'!F56),'Group Matches'!F56,0)</f>
        <v>0</v>
      </c>
      <c r="E108" s="2">
        <f>IF(ISNUMBER('Group Matches'!G56),'Group Matches'!G56,0)</f>
        <v>2</v>
      </c>
      <c r="F108" s="2">
        <f>IF(AND(ISNUMBER('Group Matches'!F56),ISNUMBER('Group Matches'!G56)),1,0)</f>
        <v>1</v>
      </c>
      <c r="G108" s="2">
        <f t="shared" si="24"/>
        <v>0</v>
      </c>
      <c r="H108" s="2">
        <f t="shared" si="25"/>
        <v>0</v>
      </c>
      <c r="I108" s="2">
        <f t="shared" si="26"/>
        <v>1</v>
      </c>
      <c r="J108" s="2">
        <f t="shared" si="27"/>
        <v>0</v>
      </c>
      <c r="K108" s="2">
        <f>IF(ISNUMBER('Group Matches'!J56),'Group Matches'!J56,0)</f>
        <v>0</v>
      </c>
      <c r="L108" s="2">
        <f>IF(ISNUMBER('Group Matches'!K56),'Group Matches'!K56,0)</f>
        <v>0</v>
      </c>
      <c r="M108" s="2">
        <f>IF(AND(ISNUMBER('Group Matches'!J56),ISNUMBER('Group Matches'!K56)),1,0)</f>
        <v>0</v>
      </c>
      <c r="N108" s="2">
        <f t="shared" si="28"/>
        <v>0</v>
      </c>
      <c r="O108" s="2">
        <f t="shared" si="29"/>
        <v>0</v>
      </c>
      <c r="P108" s="2">
        <f t="shared" si="30"/>
        <v>0</v>
      </c>
      <c r="Q108" s="2">
        <f t="shared" si="31"/>
        <v>0</v>
      </c>
    </row>
    <row r="109" spans="1:17" x14ac:dyDescent="0.2">
      <c r="A109" s="2" t="s">
        <v>4</v>
      </c>
      <c r="B109" s="2" t="str">
        <f>'Group Matches'!E56</f>
        <v>South Korea</v>
      </c>
      <c r="C109" s="2" t="str">
        <f>'Group Matches'!D56</f>
        <v>South Africa</v>
      </c>
      <c r="D109" s="2">
        <f>IF(ISNUMBER('Group Matches'!G56),'Group Matches'!G56,0)</f>
        <v>2</v>
      </c>
      <c r="E109" s="2">
        <f>IF(ISNUMBER('Group Matches'!F56),'Group Matches'!F56,0)</f>
        <v>0</v>
      </c>
      <c r="F109" s="2">
        <f>IF(AND(ISNUMBER('Group Matches'!G56),ISNUMBER('Group Matches'!F56)),1,0)</f>
        <v>1</v>
      </c>
      <c r="G109" s="2">
        <f t="shared" si="24"/>
        <v>1</v>
      </c>
      <c r="H109" s="2">
        <f t="shared" si="25"/>
        <v>0</v>
      </c>
      <c r="I109" s="2">
        <f t="shared" si="26"/>
        <v>0</v>
      </c>
      <c r="J109" s="2">
        <f t="shared" si="27"/>
        <v>3</v>
      </c>
      <c r="K109" s="2">
        <f>IF(ISNUMBER('Group Matches'!K56),'Group Matches'!K56,0)</f>
        <v>0</v>
      </c>
      <c r="L109" s="2">
        <f>IF(ISNUMBER('Group Matches'!J56),'Group Matches'!J56,0)</f>
        <v>0</v>
      </c>
      <c r="M109" s="2">
        <f>IF(AND(ISNUMBER('Group Matches'!K56),ISNUMBER('Group Matches'!J56)),1,0)</f>
        <v>0</v>
      </c>
      <c r="N109" s="2">
        <f t="shared" si="28"/>
        <v>0</v>
      </c>
      <c r="O109" s="2">
        <f t="shared" si="29"/>
        <v>0</v>
      </c>
      <c r="P109" s="2">
        <f t="shared" si="30"/>
        <v>0</v>
      </c>
      <c r="Q109" s="2">
        <f t="shared" si="31"/>
        <v>0</v>
      </c>
    </row>
    <row r="110" spans="1:17" x14ac:dyDescent="0.2">
      <c r="A110" s="2" t="s">
        <v>30</v>
      </c>
      <c r="B110" s="2" t="str">
        <f>'Group Matches'!D57</f>
        <v>Ecuador</v>
      </c>
      <c r="C110" s="2" t="str">
        <f>'Group Matches'!E57</f>
        <v>Germany</v>
      </c>
      <c r="D110" s="2">
        <f>IF(ISNUMBER('Group Matches'!F57),'Group Matches'!F57,0)</f>
        <v>2</v>
      </c>
      <c r="E110" s="2">
        <f>IF(ISNUMBER('Group Matches'!G57),'Group Matches'!G57,0)</f>
        <v>1</v>
      </c>
      <c r="F110" s="2">
        <f>IF(AND(ISNUMBER('Group Matches'!F57),ISNUMBER('Group Matches'!G57)),1,0)</f>
        <v>1</v>
      </c>
      <c r="G110" s="2">
        <f t="shared" si="24"/>
        <v>1</v>
      </c>
      <c r="H110" s="2">
        <f t="shared" si="25"/>
        <v>0</v>
      </c>
      <c r="I110" s="2">
        <f t="shared" si="26"/>
        <v>0</v>
      </c>
      <c r="J110" s="2">
        <f t="shared" si="27"/>
        <v>3</v>
      </c>
      <c r="K110" s="2">
        <f>IF(ISNUMBER('Group Matches'!J57),'Group Matches'!J57,0)</f>
        <v>0</v>
      </c>
      <c r="L110" s="2">
        <f>IF(ISNUMBER('Group Matches'!K57),'Group Matches'!K57,0)</f>
        <v>0</v>
      </c>
      <c r="M110" s="2">
        <f>IF(AND(ISNUMBER('Group Matches'!J57),ISNUMBER('Group Matches'!K57)),1,0)</f>
        <v>0</v>
      </c>
      <c r="N110" s="2">
        <f t="shared" si="28"/>
        <v>0</v>
      </c>
      <c r="O110" s="2">
        <f t="shared" si="29"/>
        <v>0</v>
      </c>
      <c r="P110" s="2">
        <f t="shared" si="30"/>
        <v>0</v>
      </c>
      <c r="Q110" s="2">
        <f t="shared" si="31"/>
        <v>0</v>
      </c>
    </row>
    <row r="111" spans="1:17" x14ac:dyDescent="0.2">
      <c r="A111" s="2" t="s">
        <v>30</v>
      </c>
      <c r="B111" s="2" t="str">
        <f>'Group Matches'!E57</f>
        <v>Germany</v>
      </c>
      <c r="C111" s="2" t="str">
        <f>'Group Matches'!D57</f>
        <v>Ecuador</v>
      </c>
      <c r="D111" s="2">
        <f>IF(ISNUMBER('Group Matches'!G57),'Group Matches'!G57,0)</f>
        <v>1</v>
      </c>
      <c r="E111" s="2">
        <f>IF(ISNUMBER('Group Matches'!F57),'Group Matches'!F57,0)</f>
        <v>2</v>
      </c>
      <c r="F111" s="2">
        <f>IF(AND(ISNUMBER('Group Matches'!G57),ISNUMBER('Group Matches'!F57)),1,0)</f>
        <v>1</v>
      </c>
      <c r="G111" s="2">
        <f t="shared" si="24"/>
        <v>0</v>
      </c>
      <c r="H111" s="2">
        <f t="shared" si="25"/>
        <v>0</v>
      </c>
      <c r="I111" s="2">
        <f t="shared" si="26"/>
        <v>1</v>
      </c>
      <c r="J111" s="2">
        <f t="shared" si="27"/>
        <v>0</v>
      </c>
      <c r="K111" s="2">
        <f>IF(ISNUMBER('Group Matches'!K57),'Group Matches'!K57,0)</f>
        <v>0</v>
      </c>
      <c r="L111" s="2">
        <f>IF(ISNUMBER('Group Matches'!J57),'Group Matches'!J57,0)</f>
        <v>0</v>
      </c>
      <c r="M111" s="2">
        <f>IF(AND(ISNUMBER('Group Matches'!K57),ISNUMBER('Group Matches'!J57)),1,0)</f>
        <v>0</v>
      </c>
      <c r="N111" s="2">
        <f t="shared" si="28"/>
        <v>0</v>
      </c>
      <c r="O111" s="2">
        <f t="shared" si="29"/>
        <v>0</v>
      </c>
      <c r="P111" s="2">
        <f t="shared" si="30"/>
        <v>0</v>
      </c>
      <c r="Q111" s="2">
        <f t="shared" si="31"/>
        <v>0</v>
      </c>
    </row>
    <row r="112" spans="1:17" x14ac:dyDescent="0.2">
      <c r="A112" s="2" t="s">
        <v>30</v>
      </c>
      <c r="B112" s="2" t="str">
        <f>'Group Matches'!D58</f>
        <v>Curaçao</v>
      </c>
      <c r="C112" s="2" t="str">
        <f>'Group Matches'!E58</f>
        <v>Côte d'Ivoire</v>
      </c>
      <c r="D112" s="2">
        <f>IF(ISNUMBER('Group Matches'!F58),'Group Matches'!F58,0)</f>
        <v>1</v>
      </c>
      <c r="E112" s="2">
        <f>IF(ISNUMBER('Group Matches'!G58),'Group Matches'!G58,0)</f>
        <v>1</v>
      </c>
      <c r="F112" s="2">
        <f>IF(AND(ISNUMBER('Group Matches'!F58),ISNUMBER('Group Matches'!G58)),1,0)</f>
        <v>1</v>
      </c>
      <c r="G112" s="2">
        <f t="shared" si="24"/>
        <v>0</v>
      </c>
      <c r="H112" s="2">
        <f t="shared" si="25"/>
        <v>1</v>
      </c>
      <c r="I112" s="2">
        <f t="shared" si="26"/>
        <v>0</v>
      </c>
      <c r="J112" s="2">
        <f t="shared" si="27"/>
        <v>1</v>
      </c>
      <c r="K112" s="2">
        <f>IF(ISNUMBER('Group Matches'!J58),'Group Matches'!J58,0)</f>
        <v>0</v>
      </c>
      <c r="L112" s="2">
        <f>IF(ISNUMBER('Group Matches'!K58),'Group Matches'!K58,0)</f>
        <v>0</v>
      </c>
      <c r="M112" s="2">
        <f>IF(AND(ISNUMBER('Group Matches'!J58),ISNUMBER('Group Matches'!K58)),1,0)</f>
        <v>0</v>
      </c>
      <c r="N112" s="2">
        <f t="shared" si="28"/>
        <v>0</v>
      </c>
      <c r="O112" s="2">
        <f t="shared" si="29"/>
        <v>0</v>
      </c>
      <c r="P112" s="2">
        <f t="shared" si="30"/>
        <v>0</v>
      </c>
      <c r="Q112" s="2">
        <f t="shared" si="31"/>
        <v>0</v>
      </c>
    </row>
    <row r="113" spans="1:17" x14ac:dyDescent="0.2">
      <c r="A113" s="2" t="s">
        <v>30</v>
      </c>
      <c r="B113" s="2" t="str">
        <f>'Group Matches'!E58</f>
        <v>Côte d'Ivoire</v>
      </c>
      <c r="C113" s="2" t="str">
        <f>'Group Matches'!D58</f>
        <v>Curaçao</v>
      </c>
      <c r="D113" s="2">
        <f>IF(ISNUMBER('Group Matches'!G58),'Group Matches'!G58,0)</f>
        <v>1</v>
      </c>
      <c r="E113" s="2">
        <f>IF(ISNUMBER('Group Matches'!F58),'Group Matches'!F58,0)</f>
        <v>1</v>
      </c>
      <c r="F113" s="2">
        <f>IF(AND(ISNUMBER('Group Matches'!G58),ISNUMBER('Group Matches'!F58)),1,0)</f>
        <v>1</v>
      </c>
      <c r="G113" s="2">
        <f t="shared" si="24"/>
        <v>0</v>
      </c>
      <c r="H113" s="2">
        <f t="shared" si="25"/>
        <v>1</v>
      </c>
      <c r="I113" s="2">
        <f t="shared" si="26"/>
        <v>0</v>
      </c>
      <c r="J113" s="2">
        <f t="shared" si="27"/>
        <v>1</v>
      </c>
      <c r="K113" s="2">
        <f>IF(ISNUMBER('Group Matches'!K58),'Group Matches'!K58,0)</f>
        <v>0</v>
      </c>
      <c r="L113" s="2">
        <f>IF(ISNUMBER('Group Matches'!J58),'Group Matches'!J58,0)</f>
        <v>0</v>
      </c>
      <c r="M113" s="2">
        <f>IF(AND(ISNUMBER('Group Matches'!K58),ISNUMBER('Group Matches'!J58)),1,0)</f>
        <v>0</v>
      </c>
      <c r="N113" s="2">
        <f t="shared" si="28"/>
        <v>0</v>
      </c>
      <c r="O113" s="2">
        <f t="shared" si="29"/>
        <v>0</v>
      </c>
      <c r="P113" s="2">
        <f t="shared" si="30"/>
        <v>0</v>
      </c>
      <c r="Q113" s="2">
        <f t="shared" si="31"/>
        <v>0</v>
      </c>
    </row>
    <row r="114" spans="1:17" x14ac:dyDescent="0.2">
      <c r="A114" s="2" t="s">
        <v>35</v>
      </c>
      <c r="B114" s="2" t="str">
        <f>'Group Matches'!D59</f>
        <v>Japan</v>
      </c>
      <c r="C114" s="2" t="str">
        <f>'Group Matches'!E59</f>
        <v>Sweden</v>
      </c>
      <c r="D114" s="2">
        <f>IF(ISNUMBER('Group Matches'!F59),'Group Matches'!F59,0)</f>
        <v>2</v>
      </c>
      <c r="E114" s="2">
        <f>IF(ISNUMBER('Group Matches'!G59),'Group Matches'!G59,0)</f>
        <v>1</v>
      </c>
      <c r="F114" s="2">
        <f>IF(AND(ISNUMBER('Group Matches'!F59),ISNUMBER('Group Matches'!G59)),1,0)</f>
        <v>1</v>
      </c>
      <c r="G114" s="2">
        <f t="shared" si="24"/>
        <v>1</v>
      </c>
      <c r="H114" s="2">
        <f t="shared" si="25"/>
        <v>0</v>
      </c>
      <c r="I114" s="2">
        <f t="shared" si="26"/>
        <v>0</v>
      </c>
      <c r="J114" s="2">
        <f t="shared" si="27"/>
        <v>3</v>
      </c>
      <c r="K114" s="2">
        <f>IF(ISNUMBER('Group Matches'!J59),'Group Matches'!J59,0)</f>
        <v>0</v>
      </c>
      <c r="L114" s="2">
        <f>IF(ISNUMBER('Group Matches'!K59),'Group Matches'!K59,0)</f>
        <v>0</v>
      </c>
      <c r="M114" s="2">
        <f>IF(AND(ISNUMBER('Group Matches'!J59),ISNUMBER('Group Matches'!K59)),1,0)</f>
        <v>0</v>
      </c>
      <c r="N114" s="2">
        <f t="shared" si="28"/>
        <v>0</v>
      </c>
      <c r="O114" s="2">
        <f t="shared" si="29"/>
        <v>0</v>
      </c>
      <c r="P114" s="2">
        <f t="shared" si="30"/>
        <v>0</v>
      </c>
      <c r="Q114" s="2">
        <f t="shared" si="31"/>
        <v>0</v>
      </c>
    </row>
    <row r="115" spans="1:17" x14ac:dyDescent="0.2">
      <c r="A115" s="2" t="s">
        <v>35</v>
      </c>
      <c r="B115" s="2" t="str">
        <f>'Group Matches'!E59</f>
        <v>Sweden</v>
      </c>
      <c r="C115" s="2" t="str">
        <f>'Group Matches'!D59</f>
        <v>Japan</v>
      </c>
      <c r="D115" s="2">
        <f>IF(ISNUMBER('Group Matches'!G59),'Group Matches'!G59,0)</f>
        <v>1</v>
      </c>
      <c r="E115" s="2">
        <f>IF(ISNUMBER('Group Matches'!F59),'Group Matches'!F59,0)</f>
        <v>2</v>
      </c>
      <c r="F115" s="2">
        <f>IF(AND(ISNUMBER('Group Matches'!G59),ISNUMBER('Group Matches'!F59)),1,0)</f>
        <v>1</v>
      </c>
      <c r="G115" s="2">
        <f t="shared" si="24"/>
        <v>0</v>
      </c>
      <c r="H115" s="2">
        <f t="shared" si="25"/>
        <v>0</v>
      </c>
      <c r="I115" s="2">
        <f t="shared" si="26"/>
        <v>1</v>
      </c>
      <c r="J115" s="2">
        <f t="shared" si="27"/>
        <v>0</v>
      </c>
      <c r="K115" s="2">
        <f>IF(ISNUMBER('Group Matches'!K59),'Group Matches'!K59,0)</f>
        <v>0</v>
      </c>
      <c r="L115" s="2">
        <f>IF(ISNUMBER('Group Matches'!J59),'Group Matches'!J59,0)</f>
        <v>0</v>
      </c>
      <c r="M115" s="2">
        <f>IF(AND(ISNUMBER('Group Matches'!K59),ISNUMBER('Group Matches'!J59)),1,0)</f>
        <v>0</v>
      </c>
      <c r="N115" s="2">
        <f t="shared" si="28"/>
        <v>0</v>
      </c>
      <c r="O115" s="2">
        <f t="shared" si="29"/>
        <v>0</v>
      </c>
      <c r="P115" s="2">
        <f t="shared" si="30"/>
        <v>0</v>
      </c>
      <c r="Q115" s="2">
        <f t="shared" si="31"/>
        <v>0</v>
      </c>
    </row>
    <row r="116" spans="1:17" x14ac:dyDescent="0.2">
      <c r="A116" s="2" t="s">
        <v>35</v>
      </c>
      <c r="B116" s="2" t="str">
        <f>'Group Matches'!D60</f>
        <v>Tunisia</v>
      </c>
      <c r="C116" s="2" t="str">
        <f>'Group Matches'!E60</f>
        <v>Netherlands</v>
      </c>
      <c r="D116" s="2">
        <f>IF(ISNUMBER('Group Matches'!F60),'Group Matches'!F60,0)</f>
        <v>1</v>
      </c>
      <c r="E116" s="2">
        <f>IF(ISNUMBER('Group Matches'!G60),'Group Matches'!G60,0)</f>
        <v>2</v>
      </c>
      <c r="F116" s="2">
        <f>IF(AND(ISNUMBER('Group Matches'!F60),ISNUMBER('Group Matches'!G60)),1,0)</f>
        <v>1</v>
      </c>
      <c r="G116" s="2">
        <f t="shared" si="24"/>
        <v>0</v>
      </c>
      <c r="H116" s="2">
        <f t="shared" si="25"/>
        <v>0</v>
      </c>
      <c r="I116" s="2">
        <f t="shared" si="26"/>
        <v>1</v>
      </c>
      <c r="J116" s="2">
        <f t="shared" si="27"/>
        <v>0</v>
      </c>
      <c r="K116" s="2">
        <f>IF(ISNUMBER('Group Matches'!J60),'Group Matches'!J60,0)</f>
        <v>0</v>
      </c>
      <c r="L116" s="2">
        <f>IF(ISNUMBER('Group Matches'!K60),'Group Matches'!K60,0)</f>
        <v>0</v>
      </c>
      <c r="M116" s="2">
        <f>IF(AND(ISNUMBER('Group Matches'!J60),ISNUMBER('Group Matches'!K60)),1,0)</f>
        <v>0</v>
      </c>
      <c r="N116" s="2">
        <f t="shared" si="28"/>
        <v>0</v>
      </c>
      <c r="O116" s="2">
        <f t="shared" si="29"/>
        <v>0</v>
      </c>
      <c r="P116" s="2">
        <f t="shared" si="30"/>
        <v>0</v>
      </c>
      <c r="Q116" s="2">
        <f t="shared" si="31"/>
        <v>0</v>
      </c>
    </row>
    <row r="117" spans="1:17" x14ac:dyDescent="0.2">
      <c r="A117" s="2" t="s">
        <v>35</v>
      </c>
      <c r="B117" s="2" t="str">
        <f>'Group Matches'!E60</f>
        <v>Netherlands</v>
      </c>
      <c r="C117" s="2" t="str">
        <f>'Group Matches'!D60</f>
        <v>Tunisia</v>
      </c>
      <c r="D117" s="2">
        <f>IF(ISNUMBER('Group Matches'!G60),'Group Matches'!G60,0)</f>
        <v>2</v>
      </c>
      <c r="E117" s="2">
        <f>IF(ISNUMBER('Group Matches'!F60),'Group Matches'!F60,0)</f>
        <v>1</v>
      </c>
      <c r="F117" s="2">
        <f>IF(AND(ISNUMBER('Group Matches'!G60),ISNUMBER('Group Matches'!F60)),1,0)</f>
        <v>1</v>
      </c>
      <c r="G117" s="2">
        <f t="shared" si="24"/>
        <v>1</v>
      </c>
      <c r="H117" s="2">
        <f t="shared" si="25"/>
        <v>0</v>
      </c>
      <c r="I117" s="2">
        <f t="shared" si="26"/>
        <v>0</v>
      </c>
      <c r="J117" s="2">
        <f t="shared" si="27"/>
        <v>3</v>
      </c>
      <c r="K117" s="2">
        <f>IF(ISNUMBER('Group Matches'!K60),'Group Matches'!K60,0)</f>
        <v>0</v>
      </c>
      <c r="L117" s="2">
        <f>IF(ISNUMBER('Group Matches'!J60),'Group Matches'!J60,0)</f>
        <v>0</v>
      </c>
      <c r="M117" s="2">
        <f>IF(AND(ISNUMBER('Group Matches'!K60),ISNUMBER('Group Matches'!J60)),1,0)</f>
        <v>0</v>
      </c>
      <c r="N117" s="2">
        <f t="shared" si="28"/>
        <v>0</v>
      </c>
      <c r="O117" s="2">
        <f t="shared" si="29"/>
        <v>0</v>
      </c>
      <c r="P117" s="2">
        <f t="shared" si="30"/>
        <v>0</v>
      </c>
      <c r="Q117" s="2">
        <f t="shared" si="31"/>
        <v>0</v>
      </c>
    </row>
    <row r="118" spans="1:17" x14ac:dyDescent="0.2">
      <c r="A118" s="2" t="s">
        <v>25</v>
      </c>
      <c r="B118" s="2" t="str">
        <f>'Group Matches'!D61</f>
        <v>Türkiye</v>
      </c>
      <c r="C118" s="2" t="str">
        <f>'Group Matches'!E61</f>
        <v>United States</v>
      </c>
      <c r="D118" s="2">
        <f>IF(ISNUMBER('Group Matches'!F61),'Group Matches'!F61,0)</f>
        <v>2</v>
      </c>
      <c r="E118" s="2">
        <f>IF(ISNUMBER('Group Matches'!G61),'Group Matches'!G61,0)</f>
        <v>2</v>
      </c>
      <c r="F118" s="2">
        <f>IF(AND(ISNUMBER('Group Matches'!F61),ISNUMBER('Group Matches'!G61)),1,0)</f>
        <v>1</v>
      </c>
      <c r="G118" s="2">
        <f t="shared" si="24"/>
        <v>0</v>
      </c>
      <c r="H118" s="2">
        <f t="shared" si="25"/>
        <v>1</v>
      </c>
      <c r="I118" s="2">
        <f t="shared" si="26"/>
        <v>0</v>
      </c>
      <c r="J118" s="2">
        <f t="shared" si="27"/>
        <v>1</v>
      </c>
      <c r="K118" s="2">
        <f>IF(ISNUMBER('Group Matches'!J61),'Group Matches'!J61,0)</f>
        <v>0</v>
      </c>
      <c r="L118" s="2">
        <f>IF(ISNUMBER('Group Matches'!K61),'Group Matches'!K61,0)</f>
        <v>0</v>
      </c>
      <c r="M118" s="2">
        <f>IF(AND(ISNUMBER('Group Matches'!J61),ISNUMBER('Group Matches'!K61)),1,0)</f>
        <v>0</v>
      </c>
      <c r="N118" s="2">
        <f t="shared" si="28"/>
        <v>0</v>
      </c>
      <c r="O118" s="2">
        <f t="shared" si="29"/>
        <v>0</v>
      </c>
      <c r="P118" s="2">
        <f t="shared" si="30"/>
        <v>0</v>
      </c>
      <c r="Q118" s="2">
        <f t="shared" si="31"/>
        <v>0</v>
      </c>
    </row>
    <row r="119" spans="1:17" x14ac:dyDescent="0.2">
      <c r="A119" s="2" t="s">
        <v>25</v>
      </c>
      <c r="B119" s="2" t="str">
        <f>'Group Matches'!E61</f>
        <v>United States</v>
      </c>
      <c r="C119" s="2" t="str">
        <f>'Group Matches'!D61</f>
        <v>Türkiye</v>
      </c>
      <c r="D119" s="2">
        <f>IF(ISNUMBER('Group Matches'!G61),'Group Matches'!G61,0)</f>
        <v>2</v>
      </c>
      <c r="E119" s="2">
        <f>IF(ISNUMBER('Group Matches'!F61),'Group Matches'!F61,0)</f>
        <v>2</v>
      </c>
      <c r="F119" s="2">
        <f>IF(AND(ISNUMBER('Group Matches'!G61),ISNUMBER('Group Matches'!F61)),1,0)</f>
        <v>1</v>
      </c>
      <c r="G119" s="2">
        <f t="shared" si="24"/>
        <v>0</v>
      </c>
      <c r="H119" s="2">
        <f t="shared" si="25"/>
        <v>1</v>
      </c>
      <c r="I119" s="2">
        <f t="shared" si="26"/>
        <v>0</v>
      </c>
      <c r="J119" s="2">
        <f t="shared" si="27"/>
        <v>1</v>
      </c>
      <c r="K119" s="2">
        <f>IF(ISNUMBER('Group Matches'!K61),'Group Matches'!K61,0)</f>
        <v>0</v>
      </c>
      <c r="L119" s="2">
        <f>IF(ISNUMBER('Group Matches'!J61),'Group Matches'!J61,0)</f>
        <v>0</v>
      </c>
      <c r="M119" s="2">
        <f>IF(AND(ISNUMBER('Group Matches'!K61),ISNUMBER('Group Matches'!J61)),1,0)</f>
        <v>0</v>
      </c>
      <c r="N119" s="2">
        <f t="shared" si="28"/>
        <v>0</v>
      </c>
      <c r="O119" s="2">
        <f t="shared" si="29"/>
        <v>0</v>
      </c>
      <c r="P119" s="2">
        <f t="shared" si="30"/>
        <v>0</v>
      </c>
      <c r="Q119" s="2">
        <f t="shared" si="31"/>
        <v>0</v>
      </c>
    </row>
    <row r="120" spans="1:17" x14ac:dyDescent="0.2">
      <c r="A120" s="2" t="s">
        <v>25</v>
      </c>
      <c r="B120" s="2" t="str">
        <f>'Group Matches'!D62</f>
        <v>Paraguay</v>
      </c>
      <c r="C120" s="2" t="str">
        <f>'Group Matches'!E62</f>
        <v>Australia</v>
      </c>
      <c r="D120" s="2">
        <f>IF(ISNUMBER('Group Matches'!F62),'Group Matches'!F62,0)</f>
        <v>1</v>
      </c>
      <c r="E120" s="2">
        <f>IF(ISNUMBER('Group Matches'!G62),'Group Matches'!G62,0)</f>
        <v>2</v>
      </c>
      <c r="F120" s="2">
        <f>IF(AND(ISNUMBER('Group Matches'!F62),ISNUMBER('Group Matches'!G62)),1,0)</f>
        <v>1</v>
      </c>
      <c r="G120" s="2">
        <f t="shared" si="24"/>
        <v>0</v>
      </c>
      <c r="H120" s="2">
        <f t="shared" si="25"/>
        <v>0</v>
      </c>
      <c r="I120" s="2">
        <f t="shared" si="26"/>
        <v>1</v>
      </c>
      <c r="J120" s="2">
        <f t="shared" si="27"/>
        <v>0</v>
      </c>
      <c r="K120" s="2">
        <f>IF(ISNUMBER('Group Matches'!J62),'Group Matches'!J62,0)</f>
        <v>0</v>
      </c>
      <c r="L120" s="2">
        <f>IF(ISNUMBER('Group Matches'!K62),'Group Matches'!K62,0)</f>
        <v>0</v>
      </c>
      <c r="M120" s="2">
        <f>IF(AND(ISNUMBER('Group Matches'!J62),ISNUMBER('Group Matches'!K62)),1,0)</f>
        <v>0</v>
      </c>
      <c r="N120" s="2">
        <f t="shared" si="28"/>
        <v>0</v>
      </c>
      <c r="O120" s="2">
        <f t="shared" si="29"/>
        <v>0</v>
      </c>
      <c r="P120" s="2">
        <f t="shared" si="30"/>
        <v>0</v>
      </c>
      <c r="Q120" s="2">
        <f t="shared" si="31"/>
        <v>0</v>
      </c>
    </row>
    <row r="121" spans="1:17" x14ac:dyDescent="0.2">
      <c r="A121" s="2" t="s">
        <v>25</v>
      </c>
      <c r="B121" s="2" t="str">
        <f>'Group Matches'!E62</f>
        <v>Australia</v>
      </c>
      <c r="C121" s="2" t="str">
        <f>'Group Matches'!D62</f>
        <v>Paraguay</v>
      </c>
      <c r="D121" s="2">
        <f>IF(ISNUMBER('Group Matches'!G62),'Group Matches'!G62,0)</f>
        <v>2</v>
      </c>
      <c r="E121" s="2">
        <f>IF(ISNUMBER('Group Matches'!F62),'Group Matches'!F62,0)</f>
        <v>1</v>
      </c>
      <c r="F121" s="2">
        <f>IF(AND(ISNUMBER('Group Matches'!G62),ISNUMBER('Group Matches'!F62)),1,0)</f>
        <v>1</v>
      </c>
      <c r="G121" s="2">
        <f t="shared" si="24"/>
        <v>1</v>
      </c>
      <c r="H121" s="2">
        <f t="shared" si="25"/>
        <v>0</v>
      </c>
      <c r="I121" s="2">
        <f t="shared" si="26"/>
        <v>0</v>
      </c>
      <c r="J121" s="2">
        <f t="shared" si="27"/>
        <v>3</v>
      </c>
      <c r="K121" s="2">
        <f>IF(ISNUMBER('Group Matches'!K62),'Group Matches'!K62,0)</f>
        <v>0</v>
      </c>
      <c r="L121" s="2">
        <f>IF(ISNUMBER('Group Matches'!J62),'Group Matches'!J62,0)</f>
        <v>0</v>
      </c>
      <c r="M121" s="2">
        <f>IF(AND(ISNUMBER('Group Matches'!K62),ISNUMBER('Group Matches'!J62)),1,0)</f>
        <v>0</v>
      </c>
      <c r="N121" s="2">
        <f t="shared" si="28"/>
        <v>0</v>
      </c>
      <c r="O121" s="2">
        <f t="shared" si="29"/>
        <v>0</v>
      </c>
      <c r="P121" s="2">
        <f t="shared" si="30"/>
        <v>0</v>
      </c>
      <c r="Q121" s="2">
        <f t="shared" si="31"/>
        <v>0</v>
      </c>
    </row>
    <row r="122" spans="1:17" x14ac:dyDescent="0.2">
      <c r="A122" s="2" t="s">
        <v>51</v>
      </c>
      <c r="B122" s="2" t="str">
        <f>'Group Matches'!D63</f>
        <v>Norway</v>
      </c>
      <c r="C122" s="2" t="str">
        <f>'Group Matches'!E63</f>
        <v>France</v>
      </c>
      <c r="D122" s="2">
        <f>IF(ISNUMBER('Group Matches'!F63),'Group Matches'!F63,0)</f>
        <v>1</v>
      </c>
      <c r="E122" s="2">
        <f>IF(ISNUMBER('Group Matches'!G63),'Group Matches'!G63,0)</f>
        <v>2</v>
      </c>
      <c r="F122" s="2">
        <f>IF(AND(ISNUMBER('Group Matches'!F63),ISNUMBER('Group Matches'!G63)),1,0)</f>
        <v>1</v>
      </c>
      <c r="G122" s="2">
        <f t="shared" si="24"/>
        <v>0</v>
      </c>
      <c r="H122" s="2">
        <f t="shared" si="25"/>
        <v>0</v>
      </c>
      <c r="I122" s="2">
        <f t="shared" si="26"/>
        <v>1</v>
      </c>
      <c r="J122" s="2">
        <f t="shared" si="27"/>
        <v>0</v>
      </c>
      <c r="K122" s="2">
        <f>IF(ISNUMBER('Group Matches'!J63),'Group Matches'!J63,0)</f>
        <v>0</v>
      </c>
      <c r="L122" s="2">
        <f>IF(ISNUMBER('Group Matches'!K63),'Group Matches'!K63,0)</f>
        <v>0</v>
      </c>
      <c r="M122" s="2">
        <f>IF(AND(ISNUMBER('Group Matches'!J63),ISNUMBER('Group Matches'!K63)),1,0)</f>
        <v>0</v>
      </c>
      <c r="N122" s="2">
        <f t="shared" si="28"/>
        <v>0</v>
      </c>
      <c r="O122" s="2">
        <f t="shared" si="29"/>
        <v>0</v>
      </c>
      <c r="P122" s="2">
        <f t="shared" si="30"/>
        <v>0</v>
      </c>
      <c r="Q122" s="2">
        <f t="shared" si="31"/>
        <v>0</v>
      </c>
    </row>
    <row r="123" spans="1:17" x14ac:dyDescent="0.2">
      <c r="A123" s="2" t="s">
        <v>51</v>
      </c>
      <c r="B123" s="2" t="str">
        <f>'Group Matches'!E63</f>
        <v>France</v>
      </c>
      <c r="C123" s="2" t="str">
        <f>'Group Matches'!D63</f>
        <v>Norway</v>
      </c>
      <c r="D123" s="2">
        <f>IF(ISNUMBER('Group Matches'!G63),'Group Matches'!G63,0)</f>
        <v>2</v>
      </c>
      <c r="E123" s="2">
        <f>IF(ISNUMBER('Group Matches'!F63),'Group Matches'!F63,0)</f>
        <v>1</v>
      </c>
      <c r="F123" s="2">
        <f>IF(AND(ISNUMBER('Group Matches'!G63),ISNUMBER('Group Matches'!F63)),1,0)</f>
        <v>1</v>
      </c>
      <c r="G123" s="2">
        <f t="shared" si="24"/>
        <v>1</v>
      </c>
      <c r="H123" s="2">
        <f t="shared" si="25"/>
        <v>0</v>
      </c>
      <c r="I123" s="2">
        <f t="shared" si="26"/>
        <v>0</v>
      </c>
      <c r="J123" s="2">
        <f t="shared" si="27"/>
        <v>3</v>
      </c>
      <c r="K123" s="2">
        <f>IF(ISNUMBER('Group Matches'!K63),'Group Matches'!K63,0)</f>
        <v>0</v>
      </c>
      <c r="L123" s="2">
        <f>IF(ISNUMBER('Group Matches'!J63),'Group Matches'!J63,0)</f>
        <v>0</v>
      </c>
      <c r="M123" s="2">
        <f>IF(AND(ISNUMBER('Group Matches'!K63),ISNUMBER('Group Matches'!J63)),1,0)</f>
        <v>0</v>
      </c>
      <c r="N123" s="2">
        <f t="shared" si="28"/>
        <v>0</v>
      </c>
      <c r="O123" s="2">
        <f t="shared" si="29"/>
        <v>0</v>
      </c>
      <c r="P123" s="2">
        <f t="shared" si="30"/>
        <v>0</v>
      </c>
      <c r="Q123" s="2">
        <f t="shared" si="31"/>
        <v>0</v>
      </c>
    </row>
    <row r="124" spans="1:17" x14ac:dyDescent="0.2">
      <c r="A124" s="2" t="s">
        <v>51</v>
      </c>
      <c r="B124" s="2" t="str">
        <f>'Group Matches'!D64</f>
        <v>Senegal</v>
      </c>
      <c r="C124" s="2" t="str">
        <f>'Group Matches'!E64</f>
        <v>Iraq</v>
      </c>
      <c r="D124" s="2">
        <f>IF(ISNUMBER('Group Matches'!F64),'Group Matches'!F64,0)</f>
        <v>1</v>
      </c>
      <c r="E124" s="2">
        <f>IF(ISNUMBER('Group Matches'!G64),'Group Matches'!G64,0)</f>
        <v>0</v>
      </c>
      <c r="F124" s="2">
        <f>IF(AND(ISNUMBER('Group Matches'!F64),ISNUMBER('Group Matches'!G64)),1,0)</f>
        <v>1</v>
      </c>
      <c r="G124" s="2">
        <f t="shared" si="24"/>
        <v>1</v>
      </c>
      <c r="H124" s="2">
        <f t="shared" si="25"/>
        <v>0</v>
      </c>
      <c r="I124" s="2">
        <f t="shared" si="26"/>
        <v>0</v>
      </c>
      <c r="J124" s="2">
        <f t="shared" si="27"/>
        <v>3</v>
      </c>
      <c r="K124" s="2">
        <f>IF(ISNUMBER('Group Matches'!J64),'Group Matches'!J64,0)</f>
        <v>0</v>
      </c>
      <c r="L124" s="2">
        <f>IF(ISNUMBER('Group Matches'!K64),'Group Matches'!K64,0)</f>
        <v>0</v>
      </c>
      <c r="M124" s="2">
        <f>IF(AND(ISNUMBER('Group Matches'!J64),ISNUMBER('Group Matches'!K64)),1,0)</f>
        <v>0</v>
      </c>
      <c r="N124" s="2">
        <f t="shared" si="28"/>
        <v>0</v>
      </c>
      <c r="O124" s="2">
        <f t="shared" si="29"/>
        <v>0</v>
      </c>
      <c r="P124" s="2">
        <f t="shared" si="30"/>
        <v>0</v>
      </c>
      <c r="Q124" s="2">
        <f t="shared" si="31"/>
        <v>0</v>
      </c>
    </row>
    <row r="125" spans="1:17" x14ac:dyDescent="0.2">
      <c r="A125" s="2" t="s">
        <v>51</v>
      </c>
      <c r="B125" s="2" t="str">
        <f>'Group Matches'!E64</f>
        <v>Iraq</v>
      </c>
      <c r="C125" s="2" t="str">
        <f>'Group Matches'!D64</f>
        <v>Senegal</v>
      </c>
      <c r="D125" s="2">
        <f>IF(ISNUMBER('Group Matches'!G64),'Group Matches'!G64,0)</f>
        <v>0</v>
      </c>
      <c r="E125" s="2">
        <f>IF(ISNUMBER('Group Matches'!F64),'Group Matches'!F64,0)</f>
        <v>1</v>
      </c>
      <c r="F125" s="2">
        <f>IF(AND(ISNUMBER('Group Matches'!G64),ISNUMBER('Group Matches'!F64)),1,0)</f>
        <v>1</v>
      </c>
      <c r="G125" s="2">
        <f t="shared" si="24"/>
        <v>0</v>
      </c>
      <c r="H125" s="2">
        <f t="shared" si="25"/>
        <v>0</v>
      </c>
      <c r="I125" s="2">
        <f t="shared" si="26"/>
        <v>1</v>
      </c>
      <c r="J125" s="2">
        <f t="shared" si="27"/>
        <v>0</v>
      </c>
      <c r="K125" s="2">
        <f>IF(ISNUMBER('Group Matches'!K64),'Group Matches'!K64,0)</f>
        <v>0</v>
      </c>
      <c r="L125" s="2">
        <f>IF(ISNUMBER('Group Matches'!J64),'Group Matches'!J64,0)</f>
        <v>0</v>
      </c>
      <c r="M125" s="2">
        <f>IF(AND(ISNUMBER('Group Matches'!K64),ISNUMBER('Group Matches'!J64)),1,0)</f>
        <v>0</v>
      </c>
      <c r="N125" s="2">
        <f t="shared" si="28"/>
        <v>0</v>
      </c>
      <c r="O125" s="2">
        <f t="shared" si="29"/>
        <v>0</v>
      </c>
      <c r="P125" s="2">
        <f t="shared" si="30"/>
        <v>0</v>
      </c>
      <c r="Q125" s="2">
        <f t="shared" si="31"/>
        <v>0</v>
      </c>
    </row>
    <row r="126" spans="1:17" x14ac:dyDescent="0.2">
      <c r="A126" s="2" t="s">
        <v>46</v>
      </c>
      <c r="B126" s="2" t="str">
        <f>'Group Matches'!D65</f>
        <v>Cabo Verde</v>
      </c>
      <c r="C126" s="2" t="str">
        <f>'Group Matches'!E65</f>
        <v>Saudi Arabia</v>
      </c>
      <c r="D126" s="2">
        <f>IF(ISNUMBER('Group Matches'!F65),'Group Matches'!F65,0)</f>
        <v>0</v>
      </c>
      <c r="E126" s="2">
        <f>IF(ISNUMBER('Group Matches'!G65),'Group Matches'!G65,0)</f>
        <v>3</v>
      </c>
      <c r="F126" s="2">
        <f>IF(AND(ISNUMBER('Group Matches'!F65),ISNUMBER('Group Matches'!G65)),1,0)</f>
        <v>1</v>
      </c>
      <c r="G126" s="2">
        <f t="shared" si="24"/>
        <v>0</v>
      </c>
      <c r="H126" s="2">
        <f t="shared" si="25"/>
        <v>0</v>
      </c>
      <c r="I126" s="2">
        <f t="shared" si="26"/>
        <v>1</v>
      </c>
      <c r="J126" s="2">
        <f t="shared" si="27"/>
        <v>0</v>
      </c>
      <c r="K126" s="2">
        <f>IF(ISNUMBER('Group Matches'!J65),'Group Matches'!J65,0)</f>
        <v>0</v>
      </c>
      <c r="L126" s="2">
        <f>IF(ISNUMBER('Group Matches'!K65),'Group Matches'!K65,0)</f>
        <v>0</v>
      </c>
      <c r="M126" s="2">
        <f>IF(AND(ISNUMBER('Group Matches'!J65),ISNUMBER('Group Matches'!K65)),1,0)</f>
        <v>0</v>
      </c>
      <c r="N126" s="2">
        <f t="shared" si="28"/>
        <v>0</v>
      </c>
      <c r="O126" s="2">
        <f t="shared" si="29"/>
        <v>0</v>
      </c>
      <c r="P126" s="2">
        <f t="shared" si="30"/>
        <v>0</v>
      </c>
      <c r="Q126" s="2">
        <f t="shared" si="31"/>
        <v>0</v>
      </c>
    </row>
    <row r="127" spans="1:17" x14ac:dyDescent="0.2">
      <c r="A127" s="2" t="s">
        <v>46</v>
      </c>
      <c r="B127" s="2" t="str">
        <f>'Group Matches'!E65</f>
        <v>Saudi Arabia</v>
      </c>
      <c r="C127" s="2" t="str">
        <f>'Group Matches'!D65</f>
        <v>Cabo Verde</v>
      </c>
      <c r="D127" s="2">
        <f>IF(ISNUMBER('Group Matches'!G65),'Group Matches'!G65,0)</f>
        <v>3</v>
      </c>
      <c r="E127" s="2">
        <f>IF(ISNUMBER('Group Matches'!F65),'Group Matches'!F65,0)</f>
        <v>0</v>
      </c>
      <c r="F127" s="2">
        <f>IF(AND(ISNUMBER('Group Matches'!G65),ISNUMBER('Group Matches'!F65)),1,0)</f>
        <v>1</v>
      </c>
      <c r="G127" s="2">
        <f t="shared" si="24"/>
        <v>1</v>
      </c>
      <c r="H127" s="2">
        <f t="shared" si="25"/>
        <v>0</v>
      </c>
      <c r="I127" s="2">
        <f t="shared" si="26"/>
        <v>0</v>
      </c>
      <c r="J127" s="2">
        <f t="shared" si="27"/>
        <v>3</v>
      </c>
      <c r="K127" s="2">
        <f>IF(ISNUMBER('Group Matches'!K65),'Group Matches'!K65,0)</f>
        <v>0</v>
      </c>
      <c r="L127" s="2">
        <f>IF(ISNUMBER('Group Matches'!J65),'Group Matches'!J65,0)</f>
        <v>0</v>
      </c>
      <c r="M127" s="2">
        <f>IF(AND(ISNUMBER('Group Matches'!K65),ISNUMBER('Group Matches'!J65)),1,0)</f>
        <v>0</v>
      </c>
      <c r="N127" s="2">
        <f t="shared" si="28"/>
        <v>0</v>
      </c>
      <c r="O127" s="2">
        <f t="shared" si="29"/>
        <v>0</v>
      </c>
      <c r="P127" s="2">
        <f t="shared" si="30"/>
        <v>0</v>
      </c>
      <c r="Q127" s="2">
        <f t="shared" si="31"/>
        <v>0</v>
      </c>
    </row>
    <row r="128" spans="1:17" x14ac:dyDescent="0.2">
      <c r="A128" s="2" t="s">
        <v>46</v>
      </c>
      <c r="B128" s="2" t="str">
        <f>'Group Matches'!D66</f>
        <v>Uruguay</v>
      </c>
      <c r="C128" s="2" t="str">
        <f>'Group Matches'!E66</f>
        <v>Spain</v>
      </c>
      <c r="D128" s="2">
        <f>IF(ISNUMBER('Group Matches'!F66),'Group Matches'!F66,0)</f>
        <v>1</v>
      </c>
      <c r="E128" s="2">
        <f>IF(ISNUMBER('Group Matches'!G66),'Group Matches'!G66,0)</f>
        <v>2</v>
      </c>
      <c r="F128" s="2">
        <f>IF(AND(ISNUMBER('Group Matches'!F66),ISNUMBER('Group Matches'!G66)),1,0)</f>
        <v>1</v>
      </c>
      <c r="G128" s="2">
        <f t="shared" si="24"/>
        <v>0</v>
      </c>
      <c r="H128" s="2">
        <f t="shared" si="25"/>
        <v>0</v>
      </c>
      <c r="I128" s="2">
        <f t="shared" si="26"/>
        <v>1</v>
      </c>
      <c r="J128" s="2">
        <f t="shared" si="27"/>
        <v>0</v>
      </c>
      <c r="K128" s="2">
        <f>IF(ISNUMBER('Group Matches'!J66),'Group Matches'!J66,0)</f>
        <v>0</v>
      </c>
      <c r="L128" s="2">
        <f>IF(ISNUMBER('Group Matches'!K66),'Group Matches'!K66,0)</f>
        <v>0</v>
      </c>
      <c r="M128" s="2">
        <f>IF(AND(ISNUMBER('Group Matches'!J66),ISNUMBER('Group Matches'!K66)),1,0)</f>
        <v>0</v>
      </c>
      <c r="N128" s="2">
        <f t="shared" si="28"/>
        <v>0</v>
      </c>
      <c r="O128" s="2">
        <f t="shared" si="29"/>
        <v>0</v>
      </c>
      <c r="P128" s="2">
        <f t="shared" si="30"/>
        <v>0</v>
      </c>
      <c r="Q128" s="2">
        <f t="shared" si="31"/>
        <v>0</v>
      </c>
    </row>
    <row r="129" spans="1:17" x14ac:dyDescent="0.2">
      <c r="A129" s="2" t="s">
        <v>46</v>
      </c>
      <c r="B129" s="2" t="str">
        <f>'Group Matches'!E66</f>
        <v>Spain</v>
      </c>
      <c r="C129" s="2" t="str">
        <f>'Group Matches'!D66</f>
        <v>Uruguay</v>
      </c>
      <c r="D129" s="2">
        <f>IF(ISNUMBER('Group Matches'!G66),'Group Matches'!G66,0)</f>
        <v>2</v>
      </c>
      <c r="E129" s="2">
        <f>IF(ISNUMBER('Group Matches'!F66),'Group Matches'!F66,0)</f>
        <v>1</v>
      </c>
      <c r="F129" s="2">
        <f>IF(AND(ISNUMBER('Group Matches'!G66),ISNUMBER('Group Matches'!F66)),1,0)</f>
        <v>1</v>
      </c>
      <c r="G129" s="2">
        <f t="shared" si="24"/>
        <v>1</v>
      </c>
      <c r="H129" s="2">
        <f t="shared" si="25"/>
        <v>0</v>
      </c>
      <c r="I129" s="2">
        <f t="shared" si="26"/>
        <v>0</v>
      </c>
      <c r="J129" s="2">
        <f t="shared" si="27"/>
        <v>3</v>
      </c>
      <c r="K129" s="2">
        <f>IF(ISNUMBER('Group Matches'!K66),'Group Matches'!K66,0)</f>
        <v>0</v>
      </c>
      <c r="L129" s="2">
        <f>IF(ISNUMBER('Group Matches'!J66),'Group Matches'!J66,0)</f>
        <v>0</v>
      </c>
      <c r="M129" s="2">
        <f>IF(AND(ISNUMBER('Group Matches'!K66),ISNUMBER('Group Matches'!J66)),1,0)</f>
        <v>0</v>
      </c>
      <c r="N129" s="2">
        <f t="shared" si="28"/>
        <v>0</v>
      </c>
      <c r="O129" s="2">
        <f t="shared" si="29"/>
        <v>0</v>
      </c>
      <c r="P129" s="2">
        <f t="shared" si="30"/>
        <v>0</v>
      </c>
      <c r="Q129" s="2">
        <f t="shared" si="31"/>
        <v>0</v>
      </c>
    </row>
    <row r="130" spans="1:17" x14ac:dyDescent="0.2">
      <c r="A130" s="2" t="s">
        <v>40</v>
      </c>
      <c r="B130" s="2" t="str">
        <f>'Group Matches'!D67</f>
        <v>Egypt</v>
      </c>
      <c r="C130" s="2" t="str">
        <f>'Group Matches'!E67</f>
        <v>Iran</v>
      </c>
      <c r="D130" s="2">
        <f>IF(ISNUMBER('Group Matches'!F67),'Group Matches'!F67,0)</f>
        <v>2</v>
      </c>
      <c r="E130" s="2">
        <f>IF(ISNUMBER('Group Matches'!G67),'Group Matches'!G67,0)</f>
        <v>0</v>
      </c>
      <c r="F130" s="2">
        <f>IF(AND(ISNUMBER('Group Matches'!F67),ISNUMBER('Group Matches'!G67)),1,0)</f>
        <v>1</v>
      </c>
      <c r="G130" s="2">
        <f t="shared" ref="G130:G145" si="32">IF(AND(F130=1,D130&gt;E130),1,0)</f>
        <v>1</v>
      </c>
      <c r="H130" s="2">
        <f t="shared" ref="H130:H145" si="33">IF(AND(F130=1,D130=E130),1,0)</f>
        <v>0</v>
      </c>
      <c r="I130" s="2">
        <f t="shared" ref="I130:I145" si="34">IF(AND(F130=1,D130&lt;E130),1,0)</f>
        <v>0</v>
      </c>
      <c r="J130" s="2">
        <f t="shared" ref="J130:J145" si="35">3*G130+H130</f>
        <v>3</v>
      </c>
      <c r="K130" s="2">
        <f>IF(ISNUMBER('Group Matches'!J67),'Group Matches'!J67,0)</f>
        <v>0</v>
      </c>
      <c r="L130" s="2">
        <f>IF(ISNUMBER('Group Matches'!K67),'Group Matches'!K67,0)</f>
        <v>0</v>
      </c>
      <c r="M130" s="2">
        <f>IF(AND(ISNUMBER('Group Matches'!J67),ISNUMBER('Group Matches'!K67)),1,0)</f>
        <v>0</v>
      </c>
      <c r="N130" s="2">
        <f t="shared" ref="N130:N145" si="36">IF(AND(M130=1,K130&gt;L130),1,0)</f>
        <v>0</v>
      </c>
      <c r="O130" s="2">
        <f t="shared" ref="O130:O145" si="37">IF(AND(M130=1,K130=L130),1,0)</f>
        <v>0</v>
      </c>
      <c r="P130" s="2">
        <f t="shared" ref="P130:P145" si="38">IF(AND(M130=1,K130&lt;L130),1,0)</f>
        <v>0</v>
      </c>
      <c r="Q130" s="2">
        <f t="shared" ref="Q130:Q145" si="39">3*N130+O130</f>
        <v>0</v>
      </c>
    </row>
    <row r="131" spans="1:17" x14ac:dyDescent="0.2">
      <c r="A131" s="2" t="s">
        <v>40</v>
      </c>
      <c r="B131" s="2" t="str">
        <f>'Group Matches'!E67</f>
        <v>Iran</v>
      </c>
      <c r="C131" s="2" t="str">
        <f>'Group Matches'!D67</f>
        <v>Egypt</v>
      </c>
      <c r="D131" s="2">
        <f>IF(ISNUMBER('Group Matches'!G67),'Group Matches'!G67,0)</f>
        <v>0</v>
      </c>
      <c r="E131" s="2">
        <f>IF(ISNUMBER('Group Matches'!F67),'Group Matches'!F67,0)</f>
        <v>2</v>
      </c>
      <c r="F131" s="2">
        <f>IF(AND(ISNUMBER('Group Matches'!G67),ISNUMBER('Group Matches'!F67)),1,0)</f>
        <v>1</v>
      </c>
      <c r="G131" s="2">
        <f t="shared" si="32"/>
        <v>0</v>
      </c>
      <c r="H131" s="2">
        <f t="shared" si="33"/>
        <v>0</v>
      </c>
      <c r="I131" s="2">
        <f t="shared" si="34"/>
        <v>1</v>
      </c>
      <c r="J131" s="2">
        <f t="shared" si="35"/>
        <v>0</v>
      </c>
      <c r="K131" s="2">
        <f>IF(ISNUMBER('Group Matches'!K67),'Group Matches'!K67,0)</f>
        <v>0</v>
      </c>
      <c r="L131" s="2">
        <f>IF(ISNUMBER('Group Matches'!J67),'Group Matches'!J67,0)</f>
        <v>0</v>
      </c>
      <c r="M131" s="2">
        <f>IF(AND(ISNUMBER('Group Matches'!K67),ISNUMBER('Group Matches'!J67)),1,0)</f>
        <v>0</v>
      </c>
      <c r="N131" s="2">
        <f t="shared" si="36"/>
        <v>0</v>
      </c>
      <c r="O131" s="2">
        <f t="shared" si="37"/>
        <v>0</v>
      </c>
      <c r="P131" s="2">
        <f t="shared" si="38"/>
        <v>0</v>
      </c>
      <c r="Q131" s="2">
        <f t="shared" si="39"/>
        <v>0</v>
      </c>
    </row>
    <row r="132" spans="1:17" x14ac:dyDescent="0.2">
      <c r="A132" s="2" t="s">
        <v>40</v>
      </c>
      <c r="B132" s="2" t="str">
        <f>'Group Matches'!D68</f>
        <v>New Zealand</v>
      </c>
      <c r="C132" s="2" t="str">
        <f>'Group Matches'!E68</f>
        <v>Belgium</v>
      </c>
      <c r="D132" s="2">
        <f>IF(ISNUMBER('Group Matches'!F68),'Group Matches'!F68,0)</f>
        <v>0</v>
      </c>
      <c r="E132" s="2">
        <f>IF(ISNUMBER('Group Matches'!G68),'Group Matches'!G68,0)</f>
        <v>2</v>
      </c>
      <c r="F132" s="2">
        <f>IF(AND(ISNUMBER('Group Matches'!F68),ISNUMBER('Group Matches'!G68)),1,0)</f>
        <v>1</v>
      </c>
      <c r="G132" s="2">
        <f t="shared" si="32"/>
        <v>0</v>
      </c>
      <c r="H132" s="2">
        <f t="shared" si="33"/>
        <v>0</v>
      </c>
      <c r="I132" s="2">
        <f t="shared" si="34"/>
        <v>1</v>
      </c>
      <c r="J132" s="2">
        <f t="shared" si="35"/>
        <v>0</v>
      </c>
      <c r="K132" s="2">
        <f>IF(ISNUMBER('Group Matches'!J68),'Group Matches'!J68,0)</f>
        <v>0</v>
      </c>
      <c r="L132" s="2">
        <f>IF(ISNUMBER('Group Matches'!K68),'Group Matches'!K68,0)</f>
        <v>0</v>
      </c>
      <c r="M132" s="2">
        <f>IF(AND(ISNUMBER('Group Matches'!J68),ISNUMBER('Group Matches'!K68)),1,0)</f>
        <v>0</v>
      </c>
      <c r="N132" s="2">
        <f t="shared" si="36"/>
        <v>0</v>
      </c>
      <c r="O132" s="2">
        <f t="shared" si="37"/>
        <v>0</v>
      </c>
      <c r="P132" s="2">
        <f t="shared" si="38"/>
        <v>0</v>
      </c>
      <c r="Q132" s="2">
        <f t="shared" si="39"/>
        <v>0</v>
      </c>
    </row>
    <row r="133" spans="1:17" x14ac:dyDescent="0.2">
      <c r="A133" s="2" t="s">
        <v>40</v>
      </c>
      <c r="B133" s="2" t="str">
        <f>'Group Matches'!E68</f>
        <v>Belgium</v>
      </c>
      <c r="C133" s="2" t="str">
        <f>'Group Matches'!D68</f>
        <v>New Zealand</v>
      </c>
      <c r="D133" s="2">
        <f>IF(ISNUMBER('Group Matches'!G68),'Group Matches'!G68,0)</f>
        <v>2</v>
      </c>
      <c r="E133" s="2">
        <f>IF(ISNUMBER('Group Matches'!F68),'Group Matches'!F68,0)</f>
        <v>0</v>
      </c>
      <c r="F133" s="2">
        <f>IF(AND(ISNUMBER('Group Matches'!G68),ISNUMBER('Group Matches'!F68)),1,0)</f>
        <v>1</v>
      </c>
      <c r="G133" s="2">
        <f t="shared" si="32"/>
        <v>1</v>
      </c>
      <c r="H133" s="2">
        <f t="shared" si="33"/>
        <v>0</v>
      </c>
      <c r="I133" s="2">
        <f t="shared" si="34"/>
        <v>0</v>
      </c>
      <c r="J133" s="2">
        <f t="shared" si="35"/>
        <v>3</v>
      </c>
      <c r="K133" s="2">
        <f>IF(ISNUMBER('Group Matches'!K68),'Group Matches'!K68,0)</f>
        <v>0</v>
      </c>
      <c r="L133" s="2">
        <f>IF(ISNUMBER('Group Matches'!J68),'Group Matches'!J68,0)</f>
        <v>0</v>
      </c>
      <c r="M133" s="2">
        <f>IF(AND(ISNUMBER('Group Matches'!K68),ISNUMBER('Group Matches'!J68)),1,0)</f>
        <v>0</v>
      </c>
      <c r="N133" s="2">
        <f t="shared" si="36"/>
        <v>0</v>
      </c>
      <c r="O133" s="2">
        <f t="shared" si="37"/>
        <v>0</v>
      </c>
      <c r="P133" s="2">
        <f t="shared" si="38"/>
        <v>0</v>
      </c>
      <c r="Q133" s="2">
        <f t="shared" si="39"/>
        <v>0</v>
      </c>
    </row>
    <row r="134" spans="1:17" x14ac:dyDescent="0.2">
      <c r="A134" s="2" t="s">
        <v>66</v>
      </c>
      <c r="B134" s="2" t="str">
        <f>'Group Matches'!D69</f>
        <v>Panama</v>
      </c>
      <c r="C134" s="2" t="str">
        <f>'Group Matches'!E69</f>
        <v>England</v>
      </c>
      <c r="D134" s="2">
        <f>IF(ISNUMBER('Group Matches'!F69),'Group Matches'!F69,0)</f>
        <v>0</v>
      </c>
      <c r="E134" s="2">
        <f>IF(ISNUMBER('Group Matches'!G69),'Group Matches'!G69,0)</f>
        <v>2</v>
      </c>
      <c r="F134" s="2">
        <f>IF(AND(ISNUMBER('Group Matches'!F69),ISNUMBER('Group Matches'!G69)),1,0)</f>
        <v>1</v>
      </c>
      <c r="G134" s="2">
        <f t="shared" si="32"/>
        <v>0</v>
      </c>
      <c r="H134" s="2">
        <f t="shared" si="33"/>
        <v>0</v>
      </c>
      <c r="I134" s="2">
        <f t="shared" si="34"/>
        <v>1</v>
      </c>
      <c r="J134" s="2">
        <f t="shared" si="35"/>
        <v>0</v>
      </c>
      <c r="K134" s="2">
        <f>IF(ISNUMBER('Group Matches'!J69),'Group Matches'!J69,0)</f>
        <v>0</v>
      </c>
      <c r="L134" s="2">
        <f>IF(ISNUMBER('Group Matches'!K69),'Group Matches'!K69,0)</f>
        <v>0</v>
      </c>
      <c r="M134" s="2">
        <f>IF(AND(ISNUMBER('Group Matches'!J69),ISNUMBER('Group Matches'!K69)),1,0)</f>
        <v>0</v>
      </c>
      <c r="N134" s="2">
        <f t="shared" si="36"/>
        <v>0</v>
      </c>
      <c r="O134" s="2">
        <f t="shared" si="37"/>
        <v>0</v>
      </c>
      <c r="P134" s="2">
        <f t="shared" si="38"/>
        <v>0</v>
      </c>
      <c r="Q134" s="2">
        <f t="shared" si="39"/>
        <v>0</v>
      </c>
    </row>
    <row r="135" spans="1:17" x14ac:dyDescent="0.2">
      <c r="A135" s="2" t="s">
        <v>66</v>
      </c>
      <c r="B135" s="2" t="str">
        <f>'Group Matches'!E69</f>
        <v>England</v>
      </c>
      <c r="C135" s="2" t="str">
        <f>'Group Matches'!D69</f>
        <v>Panama</v>
      </c>
      <c r="D135" s="2">
        <f>IF(ISNUMBER('Group Matches'!G69),'Group Matches'!G69,0)</f>
        <v>2</v>
      </c>
      <c r="E135" s="2">
        <f>IF(ISNUMBER('Group Matches'!F69),'Group Matches'!F69,0)</f>
        <v>0</v>
      </c>
      <c r="F135" s="2">
        <f>IF(AND(ISNUMBER('Group Matches'!G69),ISNUMBER('Group Matches'!F69)),1,0)</f>
        <v>1</v>
      </c>
      <c r="G135" s="2">
        <f t="shared" si="32"/>
        <v>1</v>
      </c>
      <c r="H135" s="2">
        <f t="shared" si="33"/>
        <v>0</v>
      </c>
      <c r="I135" s="2">
        <f t="shared" si="34"/>
        <v>0</v>
      </c>
      <c r="J135" s="2">
        <f t="shared" si="35"/>
        <v>3</v>
      </c>
      <c r="K135" s="2">
        <f>IF(ISNUMBER('Group Matches'!K69),'Group Matches'!K69,0)</f>
        <v>0</v>
      </c>
      <c r="L135" s="2">
        <f>IF(ISNUMBER('Group Matches'!J69),'Group Matches'!J69,0)</f>
        <v>0</v>
      </c>
      <c r="M135" s="2">
        <f>IF(AND(ISNUMBER('Group Matches'!K69),ISNUMBER('Group Matches'!J69)),1,0)</f>
        <v>0</v>
      </c>
      <c r="N135" s="2">
        <f t="shared" si="36"/>
        <v>0</v>
      </c>
      <c r="O135" s="2">
        <f t="shared" si="37"/>
        <v>0</v>
      </c>
      <c r="P135" s="2">
        <f t="shared" si="38"/>
        <v>0</v>
      </c>
      <c r="Q135" s="2">
        <f t="shared" si="39"/>
        <v>0</v>
      </c>
    </row>
    <row r="136" spans="1:17" x14ac:dyDescent="0.2">
      <c r="A136" s="2" t="s">
        <v>66</v>
      </c>
      <c r="B136" s="2" t="str">
        <f>'Group Matches'!D70</f>
        <v>Croatia</v>
      </c>
      <c r="C136" s="2" t="str">
        <f>'Group Matches'!E70</f>
        <v>Ghana</v>
      </c>
      <c r="D136" s="2">
        <f>IF(ISNUMBER('Group Matches'!F70),'Group Matches'!F70,0)</f>
        <v>2</v>
      </c>
      <c r="E136" s="2">
        <f>IF(ISNUMBER('Group Matches'!G70),'Group Matches'!G70,0)</f>
        <v>1</v>
      </c>
      <c r="F136" s="2">
        <f>IF(AND(ISNUMBER('Group Matches'!F70),ISNUMBER('Group Matches'!G70)),1,0)</f>
        <v>1</v>
      </c>
      <c r="G136" s="2">
        <f t="shared" si="32"/>
        <v>1</v>
      </c>
      <c r="H136" s="2">
        <f t="shared" si="33"/>
        <v>0</v>
      </c>
      <c r="I136" s="2">
        <f t="shared" si="34"/>
        <v>0</v>
      </c>
      <c r="J136" s="2">
        <f t="shared" si="35"/>
        <v>3</v>
      </c>
      <c r="K136" s="2">
        <f>IF(ISNUMBER('Group Matches'!J70),'Group Matches'!J70,0)</f>
        <v>0</v>
      </c>
      <c r="L136" s="2">
        <f>IF(ISNUMBER('Group Matches'!K70),'Group Matches'!K70,0)</f>
        <v>0</v>
      </c>
      <c r="M136" s="2">
        <f>IF(AND(ISNUMBER('Group Matches'!J70),ISNUMBER('Group Matches'!K70)),1,0)</f>
        <v>0</v>
      </c>
      <c r="N136" s="2">
        <f t="shared" si="36"/>
        <v>0</v>
      </c>
      <c r="O136" s="2">
        <f t="shared" si="37"/>
        <v>0</v>
      </c>
      <c r="P136" s="2">
        <f t="shared" si="38"/>
        <v>0</v>
      </c>
      <c r="Q136" s="2">
        <f t="shared" si="39"/>
        <v>0</v>
      </c>
    </row>
    <row r="137" spans="1:17" x14ac:dyDescent="0.2">
      <c r="A137" s="2" t="s">
        <v>66</v>
      </c>
      <c r="B137" s="2" t="str">
        <f>'Group Matches'!E70</f>
        <v>Ghana</v>
      </c>
      <c r="C137" s="2" t="str">
        <f>'Group Matches'!D70</f>
        <v>Croatia</v>
      </c>
      <c r="D137" s="2">
        <f>IF(ISNUMBER('Group Matches'!G70),'Group Matches'!G70,0)</f>
        <v>1</v>
      </c>
      <c r="E137" s="2">
        <f>IF(ISNUMBER('Group Matches'!F70),'Group Matches'!F70,0)</f>
        <v>2</v>
      </c>
      <c r="F137" s="2">
        <f>IF(AND(ISNUMBER('Group Matches'!G70),ISNUMBER('Group Matches'!F70)),1,0)</f>
        <v>1</v>
      </c>
      <c r="G137" s="2">
        <f t="shared" si="32"/>
        <v>0</v>
      </c>
      <c r="H137" s="2">
        <f t="shared" si="33"/>
        <v>0</v>
      </c>
      <c r="I137" s="2">
        <f t="shared" si="34"/>
        <v>1</v>
      </c>
      <c r="J137" s="2">
        <f t="shared" si="35"/>
        <v>0</v>
      </c>
      <c r="K137" s="2">
        <f>IF(ISNUMBER('Group Matches'!K70),'Group Matches'!K70,0)</f>
        <v>0</v>
      </c>
      <c r="L137" s="2">
        <f>IF(ISNUMBER('Group Matches'!J70),'Group Matches'!J70,0)</f>
        <v>0</v>
      </c>
      <c r="M137" s="2">
        <f>IF(AND(ISNUMBER('Group Matches'!K70),ISNUMBER('Group Matches'!J70)),1,0)</f>
        <v>0</v>
      </c>
      <c r="N137" s="2">
        <f t="shared" si="36"/>
        <v>0</v>
      </c>
      <c r="O137" s="2">
        <f t="shared" si="37"/>
        <v>0</v>
      </c>
      <c r="P137" s="2">
        <f t="shared" si="38"/>
        <v>0</v>
      </c>
      <c r="Q137" s="2">
        <f t="shared" si="39"/>
        <v>0</v>
      </c>
    </row>
    <row r="138" spans="1:17" x14ac:dyDescent="0.2">
      <c r="A138" s="2" t="s">
        <v>61</v>
      </c>
      <c r="B138" s="2" t="str">
        <f>'Group Matches'!D71</f>
        <v>Colombia</v>
      </c>
      <c r="C138" s="2" t="str">
        <f>'Group Matches'!E71</f>
        <v>Portugal</v>
      </c>
      <c r="D138" s="2">
        <f>IF(ISNUMBER('Group Matches'!F71),'Group Matches'!F71,0)</f>
        <v>1</v>
      </c>
      <c r="E138" s="2">
        <f>IF(ISNUMBER('Group Matches'!G71),'Group Matches'!G71,0)</f>
        <v>2</v>
      </c>
      <c r="F138" s="2">
        <f>IF(AND(ISNUMBER('Group Matches'!F71),ISNUMBER('Group Matches'!G71)),1,0)</f>
        <v>1</v>
      </c>
      <c r="G138" s="2">
        <f t="shared" si="32"/>
        <v>0</v>
      </c>
      <c r="H138" s="2">
        <f t="shared" si="33"/>
        <v>0</v>
      </c>
      <c r="I138" s="2">
        <f t="shared" si="34"/>
        <v>1</v>
      </c>
      <c r="J138" s="2">
        <f t="shared" si="35"/>
        <v>0</v>
      </c>
      <c r="K138" s="2">
        <f>IF(ISNUMBER('Group Matches'!J71),'Group Matches'!J71,0)</f>
        <v>0</v>
      </c>
      <c r="L138" s="2">
        <f>IF(ISNUMBER('Group Matches'!K71),'Group Matches'!K71,0)</f>
        <v>0</v>
      </c>
      <c r="M138" s="2">
        <f>IF(AND(ISNUMBER('Group Matches'!J71),ISNUMBER('Group Matches'!K71)),1,0)</f>
        <v>0</v>
      </c>
      <c r="N138" s="2">
        <f t="shared" si="36"/>
        <v>0</v>
      </c>
      <c r="O138" s="2">
        <f t="shared" si="37"/>
        <v>0</v>
      </c>
      <c r="P138" s="2">
        <f t="shared" si="38"/>
        <v>0</v>
      </c>
      <c r="Q138" s="2">
        <f t="shared" si="39"/>
        <v>0</v>
      </c>
    </row>
    <row r="139" spans="1:17" x14ac:dyDescent="0.2">
      <c r="A139" s="2" t="s">
        <v>61</v>
      </c>
      <c r="B139" s="2" t="str">
        <f>'Group Matches'!E71</f>
        <v>Portugal</v>
      </c>
      <c r="C139" s="2" t="str">
        <f>'Group Matches'!D71</f>
        <v>Colombia</v>
      </c>
      <c r="D139" s="2">
        <f>IF(ISNUMBER('Group Matches'!G71),'Group Matches'!G71,0)</f>
        <v>2</v>
      </c>
      <c r="E139" s="2">
        <f>IF(ISNUMBER('Group Matches'!F71),'Group Matches'!F71,0)</f>
        <v>1</v>
      </c>
      <c r="F139" s="2">
        <f>IF(AND(ISNUMBER('Group Matches'!G71),ISNUMBER('Group Matches'!F71)),1,0)</f>
        <v>1</v>
      </c>
      <c r="G139" s="2">
        <f t="shared" si="32"/>
        <v>1</v>
      </c>
      <c r="H139" s="2">
        <f t="shared" si="33"/>
        <v>0</v>
      </c>
      <c r="I139" s="2">
        <f t="shared" si="34"/>
        <v>0</v>
      </c>
      <c r="J139" s="2">
        <f t="shared" si="35"/>
        <v>3</v>
      </c>
      <c r="K139" s="2">
        <f>IF(ISNUMBER('Group Matches'!K71),'Group Matches'!K71,0)</f>
        <v>0</v>
      </c>
      <c r="L139" s="2">
        <f>IF(ISNUMBER('Group Matches'!J71),'Group Matches'!J71,0)</f>
        <v>0</v>
      </c>
      <c r="M139" s="2">
        <f>IF(AND(ISNUMBER('Group Matches'!K71),ISNUMBER('Group Matches'!J71)),1,0)</f>
        <v>0</v>
      </c>
      <c r="N139" s="2">
        <f t="shared" si="36"/>
        <v>0</v>
      </c>
      <c r="O139" s="2">
        <f t="shared" si="37"/>
        <v>0</v>
      </c>
      <c r="P139" s="2">
        <f t="shared" si="38"/>
        <v>0</v>
      </c>
      <c r="Q139" s="2">
        <f t="shared" si="39"/>
        <v>0</v>
      </c>
    </row>
    <row r="140" spans="1:17" x14ac:dyDescent="0.2">
      <c r="A140" s="2" t="s">
        <v>61</v>
      </c>
      <c r="B140" s="2" t="str">
        <f>'Group Matches'!D72</f>
        <v>DR Congo</v>
      </c>
      <c r="C140" s="2" t="str">
        <f>'Group Matches'!E72</f>
        <v>Uzbekistan</v>
      </c>
      <c r="D140" s="2">
        <f>IF(ISNUMBER('Group Matches'!F72),'Group Matches'!F72,0)</f>
        <v>3</v>
      </c>
      <c r="E140" s="2">
        <f>IF(ISNUMBER('Group Matches'!G72),'Group Matches'!G72,0)</f>
        <v>0</v>
      </c>
      <c r="F140" s="2">
        <f>IF(AND(ISNUMBER('Group Matches'!F72),ISNUMBER('Group Matches'!G72)),1,0)</f>
        <v>1</v>
      </c>
      <c r="G140" s="2">
        <f t="shared" si="32"/>
        <v>1</v>
      </c>
      <c r="H140" s="2">
        <f t="shared" si="33"/>
        <v>0</v>
      </c>
      <c r="I140" s="2">
        <f t="shared" si="34"/>
        <v>0</v>
      </c>
      <c r="J140" s="2">
        <f t="shared" si="35"/>
        <v>3</v>
      </c>
      <c r="K140" s="2">
        <f>IF(ISNUMBER('Group Matches'!J72),'Group Matches'!J72,0)</f>
        <v>0</v>
      </c>
      <c r="L140" s="2">
        <f>IF(ISNUMBER('Group Matches'!K72),'Group Matches'!K72,0)</f>
        <v>0</v>
      </c>
      <c r="M140" s="2">
        <f>IF(AND(ISNUMBER('Group Matches'!J72),ISNUMBER('Group Matches'!K72)),1,0)</f>
        <v>0</v>
      </c>
      <c r="N140" s="2">
        <f t="shared" si="36"/>
        <v>0</v>
      </c>
      <c r="O140" s="2">
        <f t="shared" si="37"/>
        <v>0</v>
      </c>
      <c r="P140" s="2">
        <f t="shared" si="38"/>
        <v>0</v>
      </c>
      <c r="Q140" s="2">
        <f t="shared" si="39"/>
        <v>0</v>
      </c>
    </row>
    <row r="141" spans="1:17" x14ac:dyDescent="0.2">
      <c r="A141" s="2" t="s">
        <v>61</v>
      </c>
      <c r="B141" s="2" t="str">
        <f>'Group Matches'!E72</f>
        <v>Uzbekistan</v>
      </c>
      <c r="C141" s="2" t="str">
        <f>'Group Matches'!D72</f>
        <v>DR Congo</v>
      </c>
      <c r="D141" s="2">
        <f>IF(ISNUMBER('Group Matches'!G72),'Group Matches'!G72,0)</f>
        <v>0</v>
      </c>
      <c r="E141" s="2">
        <f>IF(ISNUMBER('Group Matches'!F72),'Group Matches'!F72,0)</f>
        <v>3</v>
      </c>
      <c r="F141" s="2">
        <f>IF(AND(ISNUMBER('Group Matches'!G72),ISNUMBER('Group Matches'!F72)),1,0)</f>
        <v>1</v>
      </c>
      <c r="G141" s="2">
        <f t="shared" si="32"/>
        <v>0</v>
      </c>
      <c r="H141" s="2">
        <f t="shared" si="33"/>
        <v>0</v>
      </c>
      <c r="I141" s="2">
        <f t="shared" si="34"/>
        <v>1</v>
      </c>
      <c r="J141" s="2">
        <f t="shared" si="35"/>
        <v>0</v>
      </c>
      <c r="K141" s="2">
        <f>IF(ISNUMBER('Group Matches'!K72),'Group Matches'!K72,0)</f>
        <v>0</v>
      </c>
      <c r="L141" s="2">
        <f>IF(ISNUMBER('Group Matches'!J72),'Group Matches'!J72,0)</f>
        <v>0</v>
      </c>
      <c r="M141" s="2">
        <f>IF(AND(ISNUMBER('Group Matches'!K72),ISNUMBER('Group Matches'!J72)),1,0)</f>
        <v>0</v>
      </c>
      <c r="N141" s="2">
        <f t="shared" si="36"/>
        <v>0</v>
      </c>
      <c r="O141" s="2">
        <f t="shared" si="37"/>
        <v>0</v>
      </c>
      <c r="P141" s="2">
        <f t="shared" si="38"/>
        <v>0</v>
      </c>
      <c r="Q141" s="2">
        <f t="shared" si="39"/>
        <v>0</v>
      </c>
    </row>
    <row r="142" spans="1:17" x14ac:dyDescent="0.2">
      <c r="A142" s="2" t="s">
        <v>56</v>
      </c>
      <c r="B142" s="2" t="str">
        <f>'Group Matches'!D73</f>
        <v>Algeria</v>
      </c>
      <c r="C142" s="2" t="str">
        <f>'Group Matches'!E73</f>
        <v>Austria</v>
      </c>
      <c r="D142" s="2">
        <f>IF(ISNUMBER('Group Matches'!F73),'Group Matches'!F73,0)</f>
        <v>1</v>
      </c>
      <c r="E142" s="2">
        <f>IF(ISNUMBER('Group Matches'!G73),'Group Matches'!G73,0)</f>
        <v>2</v>
      </c>
      <c r="F142" s="2">
        <f>IF(AND(ISNUMBER('Group Matches'!F73),ISNUMBER('Group Matches'!G73)),1,0)</f>
        <v>1</v>
      </c>
      <c r="G142" s="2">
        <f t="shared" si="32"/>
        <v>0</v>
      </c>
      <c r="H142" s="2">
        <f t="shared" si="33"/>
        <v>0</v>
      </c>
      <c r="I142" s="2">
        <f t="shared" si="34"/>
        <v>1</v>
      </c>
      <c r="J142" s="2">
        <f t="shared" si="35"/>
        <v>0</v>
      </c>
      <c r="K142" s="2">
        <f>IF(ISNUMBER('Group Matches'!J73),'Group Matches'!J73,0)</f>
        <v>0</v>
      </c>
      <c r="L142" s="2">
        <f>IF(ISNUMBER('Group Matches'!K73),'Group Matches'!K73,0)</f>
        <v>0</v>
      </c>
      <c r="M142" s="2">
        <f>IF(AND(ISNUMBER('Group Matches'!J73),ISNUMBER('Group Matches'!K73)),1,0)</f>
        <v>0</v>
      </c>
      <c r="N142" s="2">
        <f t="shared" si="36"/>
        <v>0</v>
      </c>
      <c r="O142" s="2">
        <f t="shared" si="37"/>
        <v>0</v>
      </c>
      <c r="P142" s="2">
        <f t="shared" si="38"/>
        <v>0</v>
      </c>
      <c r="Q142" s="2">
        <f t="shared" si="39"/>
        <v>0</v>
      </c>
    </row>
    <row r="143" spans="1:17" x14ac:dyDescent="0.2">
      <c r="A143" s="2" t="s">
        <v>56</v>
      </c>
      <c r="B143" s="2" t="str">
        <f>'Group Matches'!E73</f>
        <v>Austria</v>
      </c>
      <c r="C143" s="2" t="str">
        <f>'Group Matches'!D73</f>
        <v>Algeria</v>
      </c>
      <c r="D143" s="2">
        <f>IF(ISNUMBER('Group Matches'!G73),'Group Matches'!G73,0)</f>
        <v>2</v>
      </c>
      <c r="E143" s="2">
        <f>IF(ISNUMBER('Group Matches'!F73),'Group Matches'!F73,0)</f>
        <v>1</v>
      </c>
      <c r="F143" s="2">
        <f>IF(AND(ISNUMBER('Group Matches'!G73),ISNUMBER('Group Matches'!F73)),1,0)</f>
        <v>1</v>
      </c>
      <c r="G143" s="2">
        <f t="shared" si="32"/>
        <v>1</v>
      </c>
      <c r="H143" s="2">
        <f t="shared" si="33"/>
        <v>0</v>
      </c>
      <c r="I143" s="2">
        <f t="shared" si="34"/>
        <v>0</v>
      </c>
      <c r="J143" s="2">
        <f t="shared" si="35"/>
        <v>3</v>
      </c>
      <c r="K143" s="2">
        <f>IF(ISNUMBER('Group Matches'!K73),'Group Matches'!K73,0)</f>
        <v>0</v>
      </c>
      <c r="L143" s="2">
        <f>IF(ISNUMBER('Group Matches'!J73),'Group Matches'!J73,0)</f>
        <v>0</v>
      </c>
      <c r="M143" s="2">
        <f>IF(AND(ISNUMBER('Group Matches'!K73),ISNUMBER('Group Matches'!J73)),1,0)</f>
        <v>0</v>
      </c>
      <c r="N143" s="2">
        <f t="shared" si="36"/>
        <v>0</v>
      </c>
      <c r="O143" s="2">
        <f t="shared" si="37"/>
        <v>0</v>
      </c>
      <c r="P143" s="2">
        <f t="shared" si="38"/>
        <v>0</v>
      </c>
      <c r="Q143" s="2">
        <f t="shared" si="39"/>
        <v>0</v>
      </c>
    </row>
    <row r="144" spans="1:17" x14ac:dyDescent="0.2">
      <c r="A144" s="2" t="s">
        <v>56</v>
      </c>
      <c r="B144" s="2" t="str">
        <f>'Group Matches'!D74</f>
        <v>Jordan</v>
      </c>
      <c r="C144" s="2" t="str">
        <f>'Group Matches'!E74</f>
        <v>Argentina</v>
      </c>
      <c r="D144" s="2">
        <f>IF(ISNUMBER('Group Matches'!F74),'Group Matches'!F74,0)</f>
        <v>0</v>
      </c>
      <c r="E144" s="2">
        <f>IF(ISNUMBER('Group Matches'!G74),'Group Matches'!G74,0)</f>
        <v>3</v>
      </c>
      <c r="F144" s="2">
        <f>IF(AND(ISNUMBER('Group Matches'!F74),ISNUMBER('Group Matches'!G74)),1,0)</f>
        <v>1</v>
      </c>
      <c r="G144" s="2">
        <f t="shared" si="32"/>
        <v>0</v>
      </c>
      <c r="H144" s="2">
        <f t="shared" si="33"/>
        <v>0</v>
      </c>
      <c r="I144" s="2">
        <f t="shared" si="34"/>
        <v>1</v>
      </c>
      <c r="J144" s="2">
        <f t="shared" si="35"/>
        <v>0</v>
      </c>
      <c r="K144" s="2">
        <f>IF(ISNUMBER('Group Matches'!J74),'Group Matches'!J74,0)</f>
        <v>0</v>
      </c>
      <c r="L144" s="2">
        <f>IF(ISNUMBER('Group Matches'!K74),'Group Matches'!K74,0)</f>
        <v>0</v>
      </c>
      <c r="M144" s="2">
        <f>IF(AND(ISNUMBER('Group Matches'!J74),ISNUMBER('Group Matches'!K74)),1,0)</f>
        <v>0</v>
      </c>
      <c r="N144" s="2">
        <f t="shared" si="36"/>
        <v>0</v>
      </c>
      <c r="O144" s="2">
        <f t="shared" si="37"/>
        <v>0</v>
      </c>
      <c r="P144" s="2">
        <f t="shared" si="38"/>
        <v>0</v>
      </c>
      <c r="Q144" s="2">
        <f t="shared" si="39"/>
        <v>0</v>
      </c>
    </row>
    <row r="145" spans="1:17" x14ac:dyDescent="0.2">
      <c r="A145" s="2" t="s">
        <v>56</v>
      </c>
      <c r="B145" s="2" t="str">
        <f>'Group Matches'!E74</f>
        <v>Argentina</v>
      </c>
      <c r="C145" s="2" t="str">
        <f>'Group Matches'!D74</f>
        <v>Jordan</v>
      </c>
      <c r="D145" s="2">
        <f>IF(ISNUMBER('Group Matches'!G74),'Group Matches'!G74,0)</f>
        <v>3</v>
      </c>
      <c r="E145" s="2">
        <f>IF(ISNUMBER('Group Matches'!F74),'Group Matches'!F74,0)</f>
        <v>0</v>
      </c>
      <c r="F145" s="2">
        <f>IF(AND(ISNUMBER('Group Matches'!G74),ISNUMBER('Group Matches'!F74)),1,0)</f>
        <v>1</v>
      </c>
      <c r="G145" s="2">
        <f t="shared" si="32"/>
        <v>1</v>
      </c>
      <c r="H145" s="2">
        <f t="shared" si="33"/>
        <v>0</v>
      </c>
      <c r="I145" s="2">
        <f t="shared" si="34"/>
        <v>0</v>
      </c>
      <c r="J145" s="2">
        <f t="shared" si="35"/>
        <v>3</v>
      </c>
      <c r="K145" s="2">
        <f>IF(ISNUMBER('Group Matches'!K74),'Group Matches'!K74,0)</f>
        <v>0</v>
      </c>
      <c r="L145" s="2">
        <f>IF(ISNUMBER('Group Matches'!J74),'Group Matches'!J74,0)</f>
        <v>0</v>
      </c>
      <c r="M145" s="2">
        <f>IF(AND(ISNUMBER('Group Matches'!K74),ISNUMBER('Group Matches'!J74)),1,0)</f>
        <v>0</v>
      </c>
      <c r="N145" s="2">
        <f t="shared" si="36"/>
        <v>0</v>
      </c>
      <c r="O145" s="2">
        <f t="shared" si="37"/>
        <v>0</v>
      </c>
      <c r="P145" s="2">
        <f t="shared" si="38"/>
        <v>0</v>
      </c>
      <c r="Q145" s="2">
        <f t="shared" si="39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5"/>
  <sheetViews>
    <sheetView zoomScale="157" zoomScaleNormal="100" workbookViewId="0">
      <pane xSplit="2" ySplit="2" topLeftCell="C43" activePane="bottomRight" state="frozen"/>
      <selection pane="topRight" activeCell="C1" sqref="C1"/>
      <selection pane="bottomLeft" activeCell="A3" sqref="A3"/>
      <selection pane="bottomRight" activeCell="E54" sqref="E54"/>
    </sheetView>
  </sheetViews>
  <sheetFormatPr baseColWidth="10" defaultColWidth="8.6640625" defaultRowHeight="15" x14ac:dyDescent="0.2"/>
  <cols>
    <col min="1" max="1" width="5" customWidth="1"/>
    <col min="2" max="2" width="22" customWidth="1"/>
    <col min="3" max="3" width="13" customWidth="1"/>
    <col min="4" max="4" width="13.5" customWidth="1"/>
    <col min="5" max="5" width="12.1640625" customWidth="1"/>
    <col min="6" max="6" width="12" customWidth="1"/>
    <col min="7" max="7" width="13.6640625" customWidth="1"/>
    <col min="8" max="8" width="6.6640625" customWidth="1"/>
    <col min="9" max="9" width="11.33203125" customWidth="1"/>
    <col min="10" max="10" width="10.33203125" customWidth="1"/>
    <col min="11" max="11" width="6" customWidth="1"/>
    <col min="12" max="12" width="12" customWidth="1"/>
    <col min="13" max="14" width="6" customWidth="1"/>
    <col min="15" max="15" width="5.1640625" customWidth="1"/>
    <col min="16" max="23" width="5" customWidth="1"/>
    <col min="24" max="24" width="6" customWidth="1"/>
    <col min="25" max="25" width="12" customWidth="1"/>
    <col min="26" max="28" width="6" customWidth="1"/>
  </cols>
  <sheetData>
    <row r="1" spans="1:27" x14ac:dyDescent="0.2">
      <c r="A1" s="4" t="s">
        <v>120</v>
      </c>
    </row>
    <row r="2" spans="1:27" x14ac:dyDescent="0.2">
      <c r="A2" s="5" t="s">
        <v>74</v>
      </c>
      <c r="B2" s="5" t="s">
        <v>2</v>
      </c>
      <c r="C2" s="5" t="s">
        <v>121</v>
      </c>
      <c r="D2" s="5" t="s">
        <v>122</v>
      </c>
      <c r="E2" s="5" t="s">
        <v>25</v>
      </c>
      <c r="F2" s="5" t="s">
        <v>66</v>
      </c>
      <c r="G2" s="5" t="s">
        <v>123</v>
      </c>
      <c r="H2" s="5" t="s">
        <v>124</v>
      </c>
      <c r="I2" s="5" t="s">
        <v>125</v>
      </c>
      <c r="J2" s="5" t="s">
        <v>126</v>
      </c>
      <c r="K2" s="5" t="s">
        <v>127</v>
      </c>
      <c r="L2" s="5" t="s">
        <v>128</v>
      </c>
      <c r="M2" s="5" t="s">
        <v>129</v>
      </c>
      <c r="N2" s="5" t="s">
        <v>130</v>
      </c>
      <c r="P2" s="5" t="s">
        <v>121</v>
      </c>
      <c r="Q2" s="5" t="s">
        <v>122</v>
      </c>
      <c r="R2" s="5" t="s">
        <v>25</v>
      </c>
      <c r="S2" s="5" t="s">
        <v>66</v>
      </c>
      <c r="T2" s="5" t="s">
        <v>123</v>
      </c>
      <c r="U2" s="5" t="s">
        <v>124</v>
      </c>
      <c r="V2" s="5" t="s">
        <v>125</v>
      </c>
      <c r="W2" s="5" t="s">
        <v>126</v>
      </c>
      <c r="X2" s="5" t="s">
        <v>127</v>
      </c>
      <c r="Y2" s="5" t="s">
        <v>128</v>
      </c>
      <c r="Z2" s="5" t="s">
        <v>129</v>
      </c>
      <c r="AA2" s="5" t="s">
        <v>130</v>
      </c>
    </row>
    <row r="3" spans="1:27" x14ac:dyDescent="0.2">
      <c r="A3" s="14" t="s">
        <v>4</v>
      </c>
      <c r="B3" s="38" t="s">
        <v>5</v>
      </c>
      <c r="C3" s="14">
        <f>SUMIFS(ENG_Long!$F$2:$F$145,ENG_Long!$B$2:$B$145,$B3)</f>
        <v>3</v>
      </c>
      <c r="D3" s="14">
        <f>SUMIFS(ENG_Long!$G$2:$G$145,ENG_Long!$B$2:$B$145,$B3)</f>
        <v>2</v>
      </c>
      <c r="E3" s="14">
        <f>SUMIFS(ENG_Long!$H$2:$H$145,ENG_Long!$B$2:$B$145,$B3)</f>
        <v>0</v>
      </c>
      <c r="F3" s="14">
        <f>SUMIFS(ENG_Long!$I$2:$I$145,ENG_Long!$B$2:$B$145,$B3)</f>
        <v>1</v>
      </c>
      <c r="G3" s="14">
        <f>SUMIFS(ENG_Long!$D$2:$D$145,ENG_Long!$B$2:$B$145,$B3)</f>
        <v>3</v>
      </c>
      <c r="H3" s="14">
        <f>SUMIFS(ENG_Long!$E$2:$E$145,ENG_Long!$B$2:$B$145,$B3)</f>
        <v>2</v>
      </c>
      <c r="I3" s="14">
        <f t="shared" ref="I3:I50" si="0">G3-H3</f>
        <v>1</v>
      </c>
      <c r="J3" s="14">
        <f>SUMIFS(ENG_Long!$J$2:$J$145,ENG_Long!$B$2:$B$145,$B3)</f>
        <v>6</v>
      </c>
      <c r="K3" s="15">
        <v>0</v>
      </c>
      <c r="L3" s="14">
        <f>J3*1000000+(I3+100)*1000+G3*10+K3*0.1+0.004</f>
        <v>6101030.0039999997</v>
      </c>
      <c r="M3" s="14">
        <f>RANK(L3,$L$3:$L$6,0)</f>
        <v>2</v>
      </c>
      <c r="N3" s="14" t="str">
        <f t="shared" ref="N3:N50" si="1">CHOOSE(M3,"1st","2nd","3rd","4th")</f>
        <v>2nd</v>
      </c>
      <c r="P3" s="14">
        <f>SUMIFS(ENG_Long!$M$2:$M$145,ENG_Long!$B$2:$B$145,$B3)</f>
        <v>1</v>
      </c>
      <c r="Q3" s="14">
        <f>SUMIFS(ENG_Long!$N$2:$N$145,ENG_Long!$B$2:$B$145,$B3)</f>
        <v>1</v>
      </c>
      <c r="R3" s="14">
        <f>SUMIFS(ENG_Long!$O$2:$O$145,ENG_Long!$B$2:$B$145,$B3)</f>
        <v>0</v>
      </c>
      <c r="S3" s="14">
        <f>SUMIFS(ENG_Long!$P$2:$P$145,ENG_Long!$B$2:$B$145,$B3)</f>
        <v>0</v>
      </c>
      <c r="T3" s="14">
        <f>SUMIFS(ENG_Long!$K$2:$K$145,ENG_Long!$B$2:$B$145,$B3)</f>
        <v>2</v>
      </c>
      <c r="U3" s="14">
        <f>SUMIFS(ENG_Long!$L$2:$L$145,ENG_Long!$B$2:$B$145,$B3)</f>
        <v>0</v>
      </c>
      <c r="V3" s="14">
        <f t="shared" ref="V3:V50" si="2">T3-U3</f>
        <v>2</v>
      </c>
      <c r="W3" s="14">
        <f>SUMIFS(ENG_Long!$Q$2:$Q$145,ENG_Long!$B$2:$B$145,$B3)</f>
        <v>3</v>
      </c>
      <c r="X3" s="15">
        <v>0</v>
      </c>
      <c r="Y3" s="14">
        <f>W3*1000000+(V3+100)*1000+T3*10+X3*0.1+0.004</f>
        <v>3102020.0040000002</v>
      </c>
      <c r="Z3" s="14">
        <f>RANK(Y3,$Y$3:$Y$6,0)</f>
        <v>1</v>
      </c>
      <c r="AA3" s="14" t="str">
        <f t="shared" ref="AA3:AA50" si="3">CHOOSE(Z3,"1st","2nd","3rd","4th")</f>
        <v>1st</v>
      </c>
    </row>
    <row r="4" spans="1:27" x14ac:dyDescent="0.2">
      <c r="A4" s="14" t="s">
        <v>4</v>
      </c>
      <c r="B4" s="38" t="s">
        <v>7</v>
      </c>
      <c r="C4" s="14">
        <f>SUMIFS(ENG_Long!$F$2:$F$145,ENG_Long!$B$2:$B$145,$B4)</f>
        <v>3</v>
      </c>
      <c r="D4" s="14">
        <f>SUMIFS(ENG_Long!$G$2:$G$145,ENG_Long!$B$2:$B$145,$B4)</f>
        <v>3</v>
      </c>
      <c r="E4" s="14">
        <f>SUMIFS(ENG_Long!$H$2:$H$145,ENG_Long!$B$2:$B$145,$B4)</f>
        <v>0</v>
      </c>
      <c r="F4" s="14">
        <f>SUMIFS(ENG_Long!$I$2:$I$145,ENG_Long!$B$2:$B$145,$B4)</f>
        <v>0</v>
      </c>
      <c r="G4" s="14">
        <f>SUMIFS(ENG_Long!$D$2:$D$145,ENG_Long!$B$2:$B$145,$B4)</f>
        <v>4</v>
      </c>
      <c r="H4" s="14">
        <f>SUMIFS(ENG_Long!$E$2:$E$145,ENG_Long!$B$2:$B$145,$B4)</f>
        <v>0</v>
      </c>
      <c r="I4" s="14">
        <f t="shared" si="0"/>
        <v>4</v>
      </c>
      <c r="J4" s="14">
        <f>SUMIFS(ENG_Long!$J$2:$J$145,ENG_Long!$B$2:$B$145,$B4)</f>
        <v>9</v>
      </c>
      <c r="K4" s="15">
        <v>0</v>
      </c>
      <c r="L4" s="14">
        <f>J4*1000000+(I4+100)*1000+G4*10+K4*0.1+0.003</f>
        <v>9104040.0030000005</v>
      </c>
      <c r="M4" s="14">
        <f>RANK(L4,$L$3:$L$6,0)</f>
        <v>1</v>
      </c>
      <c r="N4" s="14" t="str">
        <f t="shared" si="1"/>
        <v>1st</v>
      </c>
      <c r="P4" s="14">
        <f>SUMIFS(ENG_Long!$M$2:$M$145,ENG_Long!$B$2:$B$145,$B4)</f>
        <v>1</v>
      </c>
      <c r="Q4" s="14">
        <f>SUMIFS(ENG_Long!$N$2:$N$145,ENG_Long!$B$2:$B$145,$B4)</f>
        <v>1</v>
      </c>
      <c r="R4" s="14">
        <f>SUMIFS(ENG_Long!$O$2:$O$145,ENG_Long!$B$2:$B$145,$B4)</f>
        <v>0</v>
      </c>
      <c r="S4" s="14">
        <f>SUMIFS(ENG_Long!$P$2:$P$145,ENG_Long!$B$2:$B$145,$B4)</f>
        <v>0</v>
      </c>
      <c r="T4" s="14">
        <f>SUMIFS(ENG_Long!$K$2:$K$145,ENG_Long!$B$2:$B$145,$B4)</f>
        <v>2</v>
      </c>
      <c r="U4" s="14">
        <f>SUMIFS(ENG_Long!$L$2:$L$145,ENG_Long!$B$2:$B$145,$B4)</f>
        <v>1</v>
      </c>
      <c r="V4" s="14">
        <f t="shared" si="2"/>
        <v>1</v>
      </c>
      <c r="W4" s="14">
        <f>SUMIFS(ENG_Long!$Q$2:$Q$145,ENG_Long!$B$2:$B$145,$B4)</f>
        <v>3</v>
      </c>
      <c r="X4" s="15">
        <v>0</v>
      </c>
      <c r="Y4" s="14">
        <f>W4*1000000+(V4+100)*1000+T4*10+X4*0.1+0.003</f>
        <v>3101020.003</v>
      </c>
      <c r="Z4" s="14">
        <f>RANK(Y4,$Y$3:$Y$6,0)</f>
        <v>2</v>
      </c>
      <c r="AA4" s="14" t="str">
        <f t="shared" si="3"/>
        <v>2nd</v>
      </c>
    </row>
    <row r="5" spans="1:27" x14ac:dyDescent="0.2">
      <c r="A5" s="14" t="s">
        <v>4</v>
      </c>
      <c r="B5" s="38" t="s">
        <v>9</v>
      </c>
      <c r="C5" s="14">
        <f>SUMIFS(ENG_Long!$F$2:$F$145,ENG_Long!$B$2:$B$145,$B5)</f>
        <v>3</v>
      </c>
      <c r="D5" s="14">
        <f>SUMIFS(ENG_Long!$G$2:$G$145,ENG_Long!$B$2:$B$145,$B5)</f>
        <v>0</v>
      </c>
      <c r="E5" s="14">
        <f>SUMIFS(ENG_Long!$H$2:$H$145,ENG_Long!$B$2:$B$145,$B5)</f>
        <v>0</v>
      </c>
      <c r="F5" s="14">
        <f>SUMIFS(ENG_Long!$I$2:$I$145,ENG_Long!$B$2:$B$145,$B5)</f>
        <v>3</v>
      </c>
      <c r="G5" s="14">
        <f>SUMIFS(ENG_Long!$D$2:$D$145,ENG_Long!$B$2:$B$145,$B5)</f>
        <v>0</v>
      </c>
      <c r="H5" s="14">
        <f>SUMIFS(ENG_Long!$E$2:$E$145,ENG_Long!$B$2:$B$145,$B5)</f>
        <v>5</v>
      </c>
      <c r="I5" s="14">
        <f t="shared" si="0"/>
        <v>-5</v>
      </c>
      <c r="J5" s="14">
        <f>SUMIFS(ENG_Long!$J$2:$J$145,ENG_Long!$B$2:$B$145,$B5)</f>
        <v>0</v>
      </c>
      <c r="K5" s="15">
        <v>0</v>
      </c>
      <c r="L5" s="14">
        <f>J5*1000000+(I5+100)*1000+G5*10+K5*0.1+0.002</f>
        <v>95000.001999999993</v>
      </c>
      <c r="M5" s="14">
        <f>RANK(L5,$L$3:$L$6,0)</f>
        <v>4</v>
      </c>
      <c r="N5" s="14" t="str">
        <f t="shared" si="1"/>
        <v>4th</v>
      </c>
      <c r="P5" s="14">
        <f>SUMIFS(ENG_Long!$M$2:$M$145,ENG_Long!$B$2:$B$145,$B5)</f>
        <v>1</v>
      </c>
      <c r="Q5" s="14">
        <f>SUMIFS(ENG_Long!$N$2:$N$145,ENG_Long!$B$2:$B$145,$B5)</f>
        <v>0</v>
      </c>
      <c r="R5" s="14">
        <f>SUMIFS(ENG_Long!$O$2:$O$145,ENG_Long!$B$2:$B$145,$B5)</f>
        <v>0</v>
      </c>
      <c r="S5" s="14">
        <f>SUMIFS(ENG_Long!$P$2:$P$145,ENG_Long!$B$2:$B$145,$B5)</f>
        <v>1</v>
      </c>
      <c r="T5" s="14">
        <f>SUMIFS(ENG_Long!$K$2:$K$145,ENG_Long!$B$2:$B$145,$B5)</f>
        <v>0</v>
      </c>
      <c r="U5" s="14">
        <f>SUMIFS(ENG_Long!$L$2:$L$145,ENG_Long!$B$2:$B$145,$B5)</f>
        <v>2</v>
      </c>
      <c r="V5" s="14">
        <f t="shared" si="2"/>
        <v>-2</v>
      </c>
      <c r="W5" s="14">
        <f>SUMIFS(ENG_Long!$Q$2:$Q$145,ENG_Long!$B$2:$B$145,$B5)</f>
        <v>0</v>
      </c>
      <c r="X5" s="15">
        <v>0</v>
      </c>
      <c r="Y5" s="14">
        <f>W5*1000000+(V5+100)*1000+T5*10+X5*0.1+0.002</f>
        <v>98000.001999999993</v>
      </c>
      <c r="Z5" s="14">
        <f>RANK(Y5,$Y$3:$Y$6,0)</f>
        <v>4</v>
      </c>
      <c r="AA5" s="14" t="str">
        <f t="shared" si="3"/>
        <v>4th</v>
      </c>
    </row>
    <row r="6" spans="1:27" x14ac:dyDescent="0.2">
      <c r="A6" s="14" t="s">
        <v>4</v>
      </c>
      <c r="B6" s="38" t="s">
        <v>11</v>
      </c>
      <c r="C6" s="14">
        <f>SUMIFS(ENG_Long!$F$2:$F$145,ENG_Long!$B$2:$B$145,$B6)</f>
        <v>3</v>
      </c>
      <c r="D6" s="14">
        <f>SUMIFS(ENG_Long!$G$2:$G$145,ENG_Long!$B$2:$B$145,$B6)</f>
        <v>1</v>
      </c>
      <c r="E6" s="14">
        <f>SUMIFS(ENG_Long!$H$2:$H$145,ENG_Long!$B$2:$B$145,$B6)</f>
        <v>0</v>
      </c>
      <c r="F6" s="14">
        <f>SUMIFS(ENG_Long!$I$2:$I$145,ENG_Long!$B$2:$B$145,$B6)</f>
        <v>2</v>
      </c>
      <c r="G6" s="14">
        <f>SUMIFS(ENG_Long!$D$2:$D$145,ENG_Long!$B$2:$B$145,$B6)</f>
        <v>3</v>
      </c>
      <c r="H6" s="14">
        <f>SUMIFS(ENG_Long!$E$2:$E$145,ENG_Long!$B$2:$B$145,$B6)</f>
        <v>3</v>
      </c>
      <c r="I6" s="14">
        <f t="shared" si="0"/>
        <v>0</v>
      </c>
      <c r="J6" s="14">
        <f>SUMIFS(ENG_Long!$J$2:$J$145,ENG_Long!$B$2:$B$145,$B6)</f>
        <v>3</v>
      </c>
      <c r="K6" s="15">
        <v>0</v>
      </c>
      <c r="L6" s="14">
        <f>J6*1000000+(I6+100)*1000+G6*10+K6*0.1+0.001</f>
        <v>3100030.0010000002</v>
      </c>
      <c r="M6" s="14">
        <f>RANK(L6,$L$3:$L$6,0)</f>
        <v>3</v>
      </c>
      <c r="N6" s="14" t="str">
        <f t="shared" si="1"/>
        <v>3rd</v>
      </c>
      <c r="P6" s="14">
        <f>SUMIFS(ENG_Long!$M$2:$M$145,ENG_Long!$B$2:$B$145,$B6)</f>
        <v>1</v>
      </c>
      <c r="Q6" s="14">
        <f>SUMIFS(ENG_Long!$N$2:$N$145,ENG_Long!$B$2:$B$145,$B6)</f>
        <v>0</v>
      </c>
      <c r="R6" s="14">
        <f>SUMIFS(ENG_Long!$O$2:$O$145,ENG_Long!$B$2:$B$145,$B6)</f>
        <v>0</v>
      </c>
      <c r="S6" s="14">
        <f>SUMIFS(ENG_Long!$P$2:$P$145,ENG_Long!$B$2:$B$145,$B6)</f>
        <v>1</v>
      </c>
      <c r="T6" s="14">
        <f>SUMIFS(ENG_Long!$K$2:$K$145,ENG_Long!$B$2:$B$145,$B6)</f>
        <v>1</v>
      </c>
      <c r="U6" s="14">
        <f>SUMIFS(ENG_Long!$L$2:$L$145,ENG_Long!$B$2:$B$145,$B6)</f>
        <v>2</v>
      </c>
      <c r="V6" s="14">
        <f t="shared" si="2"/>
        <v>-1</v>
      </c>
      <c r="W6" s="14">
        <f>SUMIFS(ENG_Long!$Q$2:$Q$145,ENG_Long!$B$2:$B$145,$B6)</f>
        <v>0</v>
      </c>
      <c r="X6" s="15">
        <v>0</v>
      </c>
      <c r="Y6" s="14">
        <f>W6*1000000+(V6+100)*1000+T6*10+X6*0.1+0.001</f>
        <v>99010.001000000004</v>
      </c>
      <c r="Z6" s="14">
        <f>RANK(Y6,$Y$3:$Y$6,0)</f>
        <v>3</v>
      </c>
      <c r="AA6" s="14" t="str">
        <f t="shared" si="3"/>
        <v>3rd</v>
      </c>
    </row>
    <row r="7" spans="1:27" x14ac:dyDescent="0.2">
      <c r="A7" s="16" t="s">
        <v>13</v>
      </c>
      <c r="B7" s="39" t="s">
        <v>14</v>
      </c>
      <c r="C7" s="16">
        <f>SUMIFS(ENG_Long!$F$2:$F$145,ENG_Long!$B$2:$B$145,$B7)</f>
        <v>3</v>
      </c>
      <c r="D7" s="16">
        <f>SUMIFS(ENG_Long!$G$2:$G$145,ENG_Long!$B$2:$B$145,$B7)</f>
        <v>1</v>
      </c>
      <c r="E7" s="16">
        <f>SUMIFS(ENG_Long!$H$2:$H$145,ENG_Long!$B$2:$B$145,$B7)</f>
        <v>1</v>
      </c>
      <c r="F7" s="16">
        <f>SUMIFS(ENG_Long!$I$2:$I$145,ENG_Long!$B$2:$B$145,$B7)</f>
        <v>1</v>
      </c>
      <c r="G7" s="16">
        <f>SUMIFS(ENG_Long!$D$2:$D$145,ENG_Long!$B$2:$B$145,$B7)</f>
        <v>3</v>
      </c>
      <c r="H7" s="16">
        <f>SUMIFS(ENG_Long!$E$2:$E$145,ENG_Long!$B$2:$B$145,$B7)</f>
        <v>2</v>
      </c>
      <c r="I7" s="16">
        <f t="shared" si="0"/>
        <v>1</v>
      </c>
      <c r="J7" s="16">
        <f>SUMIFS(ENG_Long!$J$2:$J$145,ENG_Long!$B$2:$B$145,$B7)</f>
        <v>4</v>
      </c>
      <c r="K7" s="17">
        <v>0</v>
      </c>
      <c r="L7" s="16">
        <f>J7*1000000+(I7+100)*1000+G7*10+K7*0.1+0.004</f>
        <v>4101030.0040000002</v>
      </c>
      <c r="M7" s="16">
        <f>RANK(L7,$L$7:$L$10,0)</f>
        <v>3</v>
      </c>
      <c r="N7" s="16" t="str">
        <f t="shared" si="1"/>
        <v>3rd</v>
      </c>
      <c r="P7" s="16">
        <f>SUMIFS(ENG_Long!$M$2:$M$145,ENG_Long!$B$2:$B$145,$B7)</f>
        <v>1</v>
      </c>
      <c r="Q7" s="16">
        <f>SUMIFS(ENG_Long!$N$2:$N$145,ENG_Long!$B$2:$B$145,$B7)</f>
        <v>0</v>
      </c>
      <c r="R7" s="16">
        <f>SUMIFS(ENG_Long!$O$2:$O$145,ENG_Long!$B$2:$B$145,$B7)</f>
        <v>1</v>
      </c>
      <c r="S7" s="16">
        <f>SUMIFS(ENG_Long!$P$2:$P$145,ENG_Long!$B$2:$B$145,$B7)</f>
        <v>0</v>
      </c>
      <c r="T7" s="16">
        <f>SUMIFS(ENG_Long!$K$2:$K$145,ENG_Long!$B$2:$B$145,$B7)</f>
        <v>1</v>
      </c>
      <c r="U7" s="16">
        <f>SUMIFS(ENG_Long!$L$2:$L$145,ENG_Long!$B$2:$B$145,$B7)</f>
        <v>1</v>
      </c>
      <c r="V7" s="16">
        <f t="shared" si="2"/>
        <v>0</v>
      </c>
      <c r="W7" s="16">
        <f>SUMIFS(ENG_Long!$Q$2:$Q$145,ENG_Long!$B$2:$B$145,$B7)</f>
        <v>1</v>
      </c>
      <c r="X7" s="17">
        <v>0</v>
      </c>
      <c r="Y7" s="16">
        <f>W7*1000000+(V7+100)*1000+T7*10+X7*0.1+0.004</f>
        <v>1100010.004</v>
      </c>
      <c r="Z7" s="16">
        <f>RANK(Y7,$Y$7:$Y$10,0)</f>
        <v>1</v>
      </c>
      <c r="AA7" s="16" t="str">
        <f t="shared" si="3"/>
        <v>1st</v>
      </c>
    </row>
    <row r="8" spans="1:27" x14ac:dyDescent="0.2">
      <c r="A8" s="16" t="s">
        <v>13</v>
      </c>
      <c r="B8" s="39" t="s">
        <v>15</v>
      </c>
      <c r="C8" s="16">
        <f>SUMIFS(ENG_Long!$F$2:$F$145,ENG_Long!$B$2:$B$145,$B8)</f>
        <v>3</v>
      </c>
      <c r="D8" s="16">
        <f>SUMIFS(ENG_Long!$G$2:$G$145,ENG_Long!$B$2:$B$145,$B8)</f>
        <v>1</v>
      </c>
      <c r="E8" s="16">
        <f>SUMIFS(ENG_Long!$H$2:$H$145,ENG_Long!$B$2:$B$145,$B8)</f>
        <v>2</v>
      </c>
      <c r="F8" s="16">
        <f>SUMIFS(ENG_Long!$I$2:$I$145,ENG_Long!$B$2:$B$145,$B8)</f>
        <v>0</v>
      </c>
      <c r="G8" s="16">
        <f>SUMIFS(ENG_Long!$D$2:$D$145,ENG_Long!$B$2:$B$145,$B8)</f>
        <v>4</v>
      </c>
      <c r="H8" s="16">
        <f>SUMIFS(ENG_Long!$E$2:$E$145,ENG_Long!$B$2:$B$145,$B8)</f>
        <v>2</v>
      </c>
      <c r="I8" s="16">
        <f t="shared" si="0"/>
        <v>2</v>
      </c>
      <c r="J8" s="16">
        <f>SUMIFS(ENG_Long!$J$2:$J$145,ENG_Long!$B$2:$B$145,$B8)</f>
        <v>5</v>
      </c>
      <c r="K8" s="17">
        <v>0</v>
      </c>
      <c r="L8" s="16">
        <f>J8*1000000+(I8+100)*1000+G8*10+K8*0.1+0.003</f>
        <v>5102040.0029999996</v>
      </c>
      <c r="M8" s="16">
        <f>RANK(L8,$L$7:$L$10,0)</f>
        <v>2</v>
      </c>
      <c r="N8" s="16" t="str">
        <f t="shared" si="1"/>
        <v>2nd</v>
      </c>
      <c r="P8" s="16">
        <f>SUMIFS(ENG_Long!$M$2:$M$145,ENG_Long!$B$2:$B$145,$B8)</f>
        <v>1</v>
      </c>
      <c r="Q8" s="16">
        <f>SUMIFS(ENG_Long!$N$2:$N$145,ENG_Long!$B$2:$B$145,$B8)</f>
        <v>0</v>
      </c>
      <c r="R8" s="16">
        <f>SUMIFS(ENG_Long!$O$2:$O$145,ENG_Long!$B$2:$B$145,$B8)</f>
        <v>1</v>
      </c>
      <c r="S8" s="16">
        <f>SUMIFS(ENG_Long!$P$2:$P$145,ENG_Long!$B$2:$B$145,$B8)</f>
        <v>0</v>
      </c>
      <c r="T8" s="16">
        <f>SUMIFS(ENG_Long!$K$2:$K$145,ENG_Long!$B$2:$B$145,$B8)</f>
        <v>1</v>
      </c>
      <c r="U8" s="16">
        <f>SUMIFS(ENG_Long!$L$2:$L$145,ENG_Long!$B$2:$B$145,$B8)</f>
        <v>1</v>
      </c>
      <c r="V8" s="16">
        <f t="shared" si="2"/>
        <v>0</v>
      </c>
      <c r="W8" s="16">
        <f>SUMIFS(ENG_Long!$Q$2:$Q$145,ENG_Long!$B$2:$B$145,$B8)</f>
        <v>1</v>
      </c>
      <c r="X8" s="17">
        <v>0</v>
      </c>
      <c r="Y8" s="16">
        <f>W8*1000000+(V8+100)*1000+T8*10+X8*0.1+0.003</f>
        <v>1100010.003</v>
      </c>
      <c r="Z8" s="16">
        <f>RANK(Y8,$Y$7:$Y$10,0)</f>
        <v>2</v>
      </c>
      <c r="AA8" s="16" t="str">
        <f t="shared" si="3"/>
        <v>2nd</v>
      </c>
    </row>
    <row r="9" spans="1:27" x14ac:dyDescent="0.2">
      <c r="A9" s="16" t="s">
        <v>13</v>
      </c>
      <c r="B9" s="39" t="s">
        <v>16</v>
      </c>
      <c r="C9" s="16">
        <f>SUMIFS(ENG_Long!$F$2:$F$145,ENG_Long!$B$2:$B$145,$B9)</f>
        <v>3</v>
      </c>
      <c r="D9" s="16">
        <f>SUMIFS(ENG_Long!$G$2:$G$145,ENG_Long!$B$2:$B$145,$B9)</f>
        <v>0</v>
      </c>
      <c r="E9" s="16">
        <f>SUMIFS(ENG_Long!$H$2:$H$145,ENG_Long!$B$2:$B$145,$B9)</f>
        <v>0</v>
      </c>
      <c r="F9" s="16">
        <f>SUMIFS(ENG_Long!$I$2:$I$145,ENG_Long!$B$2:$B$145,$B9)</f>
        <v>3</v>
      </c>
      <c r="G9" s="16">
        <f>SUMIFS(ENG_Long!$D$2:$D$145,ENG_Long!$B$2:$B$145,$B9)</f>
        <v>0</v>
      </c>
      <c r="H9" s="16">
        <f>SUMIFS(ENG_Long!$E$2:$E$145,ENG_Long!$B$2:$B$145,$B9)</f>
        <v>6</v>
      </c>
      <c r="I9" s="16">
        <f t="shared" si="0"/>
        <v>-6</v>
      </c>
      <c r="J9" s="16">
        <f>SUMIFS(ENG_Long!$J$2:$J$145,ENG_Long!$B$2:$B$145,$B9)</f>
        <v>0</v>
      </c>
      <c r="K9" s="17">
        <v>0</v>
      </c>
      <c r="L9" s="16">
        <f>J9*1000000+(I9+100)*1000+G9*10+K9*0.1+0.002</f>
        <v>94000.001999999993</v>
      </c>
      <c r="M9" s="16">
        <f>RANK(L9,$L$7:$L$10,0)</f>
        <v>4</v>
      </c>
      <c r="N9" s="16" t="str">
        <f t="shared" si="1"/>
        <v>4th</v>
      </c>
      <c r="P9" s="16">
        <f>SUMIFS(ENG_Long!$M$2:$M$145,ENG_Long!$B$2:$B$145,$B9)</f>
        <v>1</v>
      </c>
      <c r="Q9" s="16">
        <f>SUMIFS(ENG_Long!$N$2:$N$145,ENG_Long!$B$2:$B$145,$B9)</f>
        <v>0</v>
      </c>
      <c r="R9" s="16">
        <f>SUMIFS(ENG_Long!$O$2:$O$145,ENG_Long!$B$2:$B$145,$B9)</f>
        <v>1</v>
      </c>
      <c r="S9" s="16">
        <f>SUMIFS(ENG_Long!$P$2:$P$145,ENG_Long!$B$2:$B$145,$B9)</f>
        <v>0</v>
      </c>
      <c r="T9" s="16">
        <f>SUMIFS(ENG_Long!$K$2:$K$145,ENG_Long!$B$2:$B$145,$B9)</f>
        <v>1</v>
      </c>
      <c r="U9" s="16">
        <f>SUMIFS(ENG_Long!$L$2:$L$145,ENG_Long!$B$2:$B$145,$B9)</f>
        <v>1</v>
      </c>
      <c r="V9" s="16">
        <f t="shared" si="2"/>
        <v>0</v>
      </c>
      <c r="W9" s="16">
        <f>SUMIFS(ENG_Long!$Q$2:$Q$145,ENG_Long!$B$2:$B$145,$B9)</f>
        <v>1</v>
      </c>
      <c r="X9" s="17">
        <v>0</v>
      </c>
      <c r="Y9" s="16">
        <f>W9*1000000+(V9+100)*1000+T9*10+X9*0.1+0.002</f>
        <v>1100010.0020000001</v>
      </c>
      <c r="Z9" s="16">
        <f>RANK(Y9,$Y$7:$Y$10,0)</f>
        <v>3</v>
      </c>
      <c r="AA9" s="16" t="str">
        <f t="shared" si="3"/>
        <v>3rd</v>
      </c>
    </row>
    <row r="10" spans="1:27" x14ac:dyDescent="0.2">
      <c r="A10" s="16" t="s">
        <v>13</v>
      </c>
      <c r="B10" s="39" t="s">
        <v>17</v>
      </c>
      <c r="C10" s="16">
        <f>SUMIFS(ENG_Long!$F$2:$F$145,ENG_Long!$B$2:$B$145,$B10)</f>
        <v>3</v>
      </c>
      <c r="D10" s="16">
        <f>SUMIFS(ENG_Long!$G$2:$G$145,ENG_Long!$B$2:$B$145,$B10)</f>
        <v>2</v>
      </c>
      <c r="E10" s="16">
        <f>SUMIFS(ENG_Long!$H$2:$H$145,ENG_Long!$B$2:$B$145,$B10)</f>
        <v>1</v>
      </c>
      <c r="F10" s="16">
        <f>SUMIFS(ENG_Long!$I$2:$I$145,ENG_Long!$B$2:$B$145,$B10)</f>
        <v>0</v>
      </c>
      <c r="G10" s="16">
        <f>SUMIFS(ENG_Long!$D$2:$D$145,ENG_Long!$B$2:$B$145,$B10)</f>
        <v>4</v>
      </c>
      <c r="H10" s="16">
        <f>SUMIFS(ENG_Long!$E$2:$E$145,ENG_Long!$B$2:$B$145,$B10)</f>
        <v>1</v>
      </c>
      <c r="I10" s="16">
        <f t="shared" si="0"/>
        <v>3</v>
      </c>
      <c r="J10" s="16">
        <f>SUMIFS(ENG_Long!$J$2:$J$145,ENG_Long!$B$2:$B$145,$B10)</f>
        <v>7</v>
      </c>
      <c r="K10" s="17">
        <v>0</v>
      </c>
      <c r="L10" s="16">
        <f>J10*1000000+(I10+100)*1000+G10*10+K10*0.1+0.001</f>
        <v>7103040.0010000002</v>
      </c>
      <c r="M10" s="16">
        <f>RANK(L10,$L$7:$L$10,0)</f>
        <v>1</v>
      </c>
      <c r="N10" s="16" t="str">
        <f t="shared" si="1"/>
        <v>1st</v>
      </c>
      <c r="P10" s="16">
        <f>SUMIFS(ENG_Long!$M$2:$M$145,ENG_Long!$B$2:$B$145,$B10)</f>
        <v>1</v>
      </c>
      <c r="Q10" s="16">
        <f>SUMIFS(ENG_Long!$N$2:$N$145,ENG_Long!$B$2:$B$145,$B10)</f>
        <v>0</v>
      </c>
      <c r="R10" s="16">
        <f>SUMIFS(ENG_Long!$O$2:$O$145,ENG_Long!$B$2:$B$145,$B10)</f>
        <v>1</v>
      </c>
      <c r="S10" s="16">
        <f>SUMIFS(ENG_Long!$P$2:$P$145,ENG_Long!$B$2:$B$145,$B10)</f>
        <v>0</v>
      </c>
      <c r="T10" s="16">
        <f>SUMIFS(ENG_Long!$K$2:$K$145,ENG_Long!$B$2:$B$145,$B10)</f>
        <v>1</v>
      </c>
      <c r="U10" s="16">
        <f>SUMIFS(ENG_Long!$L$2:$L$145,ENG_Long!$B$2:$B$145,$B10)</f>
        <v>1</v>
      </c>
      <c r="V10" s="16">
        <f t="shared" si="2"/>
        <v>0</v>
      </c>
      <c r="W10" s="16">
        <f>SUMIFS(ENG_Long!$Q$2:$Q$145,ENG_Long!$B$2:$B$145,$B10)</f>
        <v>1</v>
      </c>
      <c r="X10" s="17">
        <v>0</v>
      </c>
      <c r="Y10" s="16">
        <f>W10*1000000+(V10+100)*1000+T10*10+X10*0.1+0.001</f>
        <v>1100010.0009999999</v>
      </c>
      <c r="Z10" s="16">
        <f>RANK(Y10,$Y$7:$Y$10,0)</f>
        <v>4</v>
      </c>
      <c r="AA10" s="16" t="str">
        <f t="shared" si="3"/>
        <v>4th</v>
      </c>
    </row>
    <row r="11" spans="1:27" x14ac:dyDescent="0.2">
      <c r="A11" s="18" t="s">
        <v>18</v>
      </c>
      <c r="B11" s="40" t="s">
        <v>19</v>
      </c>
      <c r="C11" s="18">
        <f>SUMIFS(ENG_Long!$F$2:$F$145,ENG_Long!$B$2:$B$145,$B11)</f>
        <v>3</v>
      </c>
      <c r="D11" s="18">
        <f>SUMIFS(ENG_Long!$G$2:$G$145,ENG_Long!$B$2:$B$145,$B11)</f>
        <v>3</v>
      </c>
      <c r="E11" s="18">
        <f>SUMIFS(ENG_Long!$H$2:$H$145,ENG_Long!$B$2:$B$145,$B11)</f>
        <v>0</v>
      </c>
      <c r="F11" s="18">
        <f>SUMIFS(ENG_Long!$I$2:$I$145,ENG_Long!$B$2:$B$145,$B11)</f>
        <v>0</v>
      </c>
      <c r="G11" s="18">
        <f>SUMIFS(ENG_Long!$D$2:$D$145,ENG_Long!$B$2:$B$145,$B11)</f>
        <v>7</v>
      </c>
      <c r="H11" s="18">
        <f>SUMIFS(ENG_Long!$E$2:$E$145,ENG_Long!$B$2:$B$145,$B11)</f>
        <v>2</v>
      </c>
      <c r="I11" s="18">
        <f t="shared" si="0"/>
        <v>5</v>
      </c>
      <c r="J11" s="18">
        <f>SUMIFS(ENG_Long!$J$2:$J$145,ENG_Long!$B$2:$B$145,$B11)</f>
        <v>9</v>
      </c>
      <c r="K11" s="19">
        <v>0</v>
      </c>
      <c r="L11" s="18">
        <f>J11*1000000+(I11+100)*1000+G11*10+K11*0.1+0.004</f>
        <v>9105070.0040000007</v>
      </c>
      <c r="M11" s="18">
        <f>RANK(L11,$L$11:$L$14,0)</f>
        <v>1</v>
      </c>
      <c r="N11" s="18" t="str">
        <f t="shared" si="1"/>
        <v>1st</v>
      </c>
      <c r="P11" s="18">
        <f>SUMIFS(ENG_Long!$M$2:$M$145,ENG_Long!$B$2:$B$145,$B11)</f>
        <v>1</v>
      </c>
      <c r="Q11" s="18">
        <f>SUMIFS(ENG_Long!$N$2:$N$145,ENG_Long!$B$2:$B$145,$B11)</f>
        <v>0</v>
      </c>
      <c r="R11" s="18">
        <f>SUMIFS(ENG_Long!$O$2:$O$145,ENG_Long!$B$2:$B$145,$B11)</f>
        <v>1</v>
      </c>
      <c r="S11" s="18">
        <f>SUMIFS(ENG_Long!$P$2:$P$145,ENG_Long!$B$2:$B$145,$B11)</f>
        <v>0</v>
      </c>
      <c r="T11" s="18">
        <f>SUMIFS(ENG_Long!$K$2:$K$145,ENG_Long!$B$2:$B$145,$B11)</f>
        <v>1</v>
      </c>
      <c r="U11" s="18">
        <f>SUMIFS(ENG_Long!$L$2:$L$145,ENG_Long!$B$2:$B$145,$B11)</f>
        <v>1</v>
      </c>
      <c r="V11" s="18">
        <f t="shared" si="2"/>
        <v>0</v>
      </c>
      <c r="W11" s="18">
        <f>SUMIFS(ENG_Long!$Q$2:$Q$145,ENG_Long!$B$2:$B$145,$B11)</f>
        <v>1</v>
      </c>
      <c r="X11" s="19">
        <v>0</v>
      </c>
      <c r="Y11" s="18">
        <f>W11*1000000+(V11+100)*1000+T11*10+X11*0.1+0.004</f>
        <v>1100010.004</v>
      </c>
      <c r="Z11" s="18">
        <f>RANK(Y11,$Y$11:$Y$14,0)</f>
        <v>2</v>
      </c>
      <c r="AA11" s="18" t="str">
        <f t="shared" si="3"/>
        <v>2nd</v>
      </c>
    </row>
    <row r="12" spans="1:27" x14ac:dyDescent="0.2">
      <c r="A12" s="18" t="s">
        <v>18</v>
      </c>
      <c r="B12" s="40" t="s">
        <v>21</v>
      </c>
      <c r="C12" s="18">
        <f>SUMIFS(ENG_Long!$F$2:$F$145,ENG_Long!$B$2:$B$145,$B12)</f>
        <v>3</v>
      </c>
      <c r="D12" s="18">
        <f>SUMIFS(ENG_Long!$G$2:$G$145,ENG_Long!$B$2:$B$145,$B12)</f>
        <v>2</v>
      </c>
      <c r="E12" s="18">
        <f>SUMIFS(ENG_Long!$H$2:$H$145,ENG_Long!$B$2:$B$145,$B12)</f>
        <v>0</v>
      </c>
      <c r="F12" s="18">
        <f>SUMIFS(ENG_Long!$I$2:$I$145,ENG_Long!$B$2:$B$145,$B12)</f>
        <v>1</v>
      </c>
      <c r="G12" s="18">
        <f>SUMIFS(ENG_Long!$D$2:$D$145,ENG_Long!$B$2:$B$145,$B12)</f>
        <v>6</v>
      </c>
      <c r="H12" s="18">
        <f>SUMIFS(ENG_Long!$E$2:$E$145,ENG_Long!$B$2:$B$145,$B12)</f>
        <v>3</v>
      </c>
      <c r="I12" s="18">
        <f t="shared" si="0"/>
        <v>3</v>
      </c>
      <c r="J12" s="18">
        <f>SUMIFS(ENG_Long!$J$2:$J$145,ENG_Long!$B$2:$B$145,$B12)</f>
        <v>6</v>
      </c>
      <c r="K12" s="19">
        <v>0</v>
      </c>
      <c r="L12" s="18">
        <f>J12*1000000+(I12+100)*1000+G12*10+K12*0.1+0.003</f>
        <v>6103060.0029999996</v>
      </c>
      <c r="M12" s="18">
        <f>RANK(L12,$L$11:$L$14,0)</f>
        <v>2</v>
      </c>
      <c r="N12" s="18" t="str">
        <f t="shared" si="1"/>
        <v>2nd</v>
      </c>
      <c r="P12" s="18">
        <f>SUMIFS(ENG_Long!$M$2:$M$145,ENG_Long!$B$2:$B$145,$B12)</f>
        <v>1</v>
      </c>
      <c r="Q12" s="18">
        <f>SUMIFS(ENG_Long!$N$2:$N$145,ENG_Long!$B$2:$B$145,$B12)</f>
        <v>0</v>
      </c>
      <c r="R12" s="18">
        <f>SUMIFS(ENG_Long!$O$2:$O$145,ENG_Long!$B$2:$B$145,$B12)</f>
        <v>1</v>
      </c>
      <c r="S12" s="18">
        <f>SUMIFS(ENG_Long!$P$2:$P$145,ENG_Long!$B$2:$B$145,$B12)</f>
        <v>0</v>
      </c>
      <c r="T12" s="18">
        <f>SUMIFS(ENG_Long!$K$2:$K$145,ENG_Long!$B$2:$B$145,$B12)</f>
        <v>1</v>
      </c>
      <c r="U12" s="18">
        <f>SUMIFS(ENG_Long!$L$2:$L$145,ENG_Long!$B$2:$B$145,$B12)</f>
        <v>1</v>
      </c>
      <c r="V12" s="18">
        <f t="shared" si="2"/>
        <v>0</v>
      </c>
      <c r="W12" s="18">
        <f>SUMIFS(ENG_Long!$Q$2:$Q$145,ENG_Long!$B$2:$B$145,$B12)</f>
        <v>1</v>
      </c>
      <c r="X12" s="19">
        <v>0</v>
      </c>
      <c r="Y12" s="18">
        <f>W12*1000000+(V12+100)*1000+T12*10+X12*0.1+0.003</f>
        <v>1100010.003</v>
      </c>
      <c r="Z12" s="18">
        <f>RANK(Y12,$Y$11:$Y$14,0)</f>
        <v>3</v>
      </c>
      <c r="AA12" s="18" t="str">
        <f t="shared" si="3"/>
        <v>3rd</v>
      </c>
    </row>
    <row r="13" spans="1:27" x14ac:dyDescent="0.2">
      <c r="A13" s="18" t="s">
        <v>18</v>
      </c>
      <c r="B13" s="40" t="s">
        <v>22</v>
      </c>
      <c r="C13" s="18">
        <f>SUMIFS(ENG_Long!$F$2:$F$145,ENG_Long!$B$2:$B$145,$B13)</f>
        <v>3</v>
      </c>
      <c r="D13" s="18">
        <f>SUMIFS(ENG_Long!$G$2:$G$145,ENG_Long!$B$2:$B$145,$B13)</f>
        <v>1</v>
      </c>
      <c r="E13" s="18">
        <f>SUMIFS(ENG_Long!$H$2:$H$145,ENG_Long!$B$2:$B$145,$B13)</f>
        <v>0</v>
      </c>
      <c r="F13" s="18">
        <f>SUMIFS(ENG_Long!$I$2:$I$145,ENG_Long!$B$2:$B$145,$B13)</f>
        <v>2</v>
      </c>
      <c r="G13" s="18">
        <f>SUMIFS(ENG_Long!$D$2:$D$145,ENG_Long!$B$2:$B$145,$B13)</f>
        <v>4</v>
      </c>
      <c r="H13" s="18">
        <f>SUMIFS(ENG_Long!$E$2:$E$145,ENG_Long!$B$2:$B$145,$B13)</f>
        <v>4</v>
      </c>
      <c r="I13" s="18">
        <f t="shared" si="0"/>
        <v>0</v>
      </c>
      <c r="J13" s="18">
        <f>SUMIFS(ENG_Long!$J$2:$J$145,ENG_Long!$B$2:$B$145,$B13)</f>
        <v>3</v>
      </c>
      <c r="K13" s="19">
        <v>0</v>
      </c>
      <c r="L13" s="18">
        <f>J13*1000000+(I13+100)*1000+G13*10+K13*0.1+0.002</f>
        <v>3100040.0019999999</v>
      </c>
      <c r="M13" s="18">
        <f>RANK(L13,$L$11:$L$14,0)</f>
        <v>3</v>
      </c>
      <c r="N13" s="18" t="str">
        <f t="shared" si="1"/>
        <v>3rd</v>
      </c>
      <c r="P13" s="18">
        <f>SUMIFS(ENG_Long!$M$2:$M$145,ENG_Long!$B$2:$B$145,$B13)</f>
        <v>1</v>
      </c>
      <c r="Q13" s="18">
        <f>SUMIFS(ENG_Long!$N$2:$N$145,ENG_Long!$B$2:$B$145,$B13)</f>
        <v>1</v>
      </c>
      <c r="R13" s="18">
        <f>SUMIFS(ENG_Long!$O$2:$O$145,ENG_Long!$B$2:$B$145,$B13)</f>
        <v>0</v>
      </c>
      <c r="S13" s="18">
        <f>SUMIFS(ENG_Long!$P$2:$P$145,ENG_Long!$B$2:$B$145,$B13)</f>
        <v>0</v>
      </c>
      <c r="T13" s="18">
        <f>SUMIFS(ENG_Long!$K$2:$K$145,ENG_Long!$B$2:$B$145,$B13)</f>
        <v>1</v>
      </c>
      <c r="U13" s="18">
        <f>SUMIFS(ENG_Long!$L$2:$L$145,ENG_Long!$B$2:$B$145,$B13)</f>
        <v>0</v>
      </c>
      <c r="V13" s="18">
        <f t="shared" si="2"/>
        <v>1</v>
      </c>
      <c r="W13" s="18">
        <f>SUMIFS(ENG_Long!$Q$2:$Q$145,ENG_Long!$B$2:$B$145,$B13)</f>
        <v>3</v>
      </c>
      <c r="X13" s="19">
        <v>0</v>
      </c>
      <c r="Y13" s="18">
        <f>W13*1000000+(V13+100)*1000+T13*10+X13*0.1+0.002</f>
        <v>3101010.0019999999</v>
      </c>
      <c r="Z13" s="18">
        <f>RANK(Y13,$Y$11:$Y$14,0)</f>
        <v>1</v>
      </c>
      <c r="AA13" s="18" t="str">
        <f t="shared" si="3"/>
        <v>1st</v>
      </c>
    </row>
    <row r="14" spans="1:27" x14ac:dyDescent="0.2">
      <c r="A14" s="18" t="s">
        <v>18</v>
      </c>
      <c r="B14" s="40" t="s">
        <v>23</v>
      </c>
      <c r="C14" s="18">
        <f>SUMIFS(ENG_Long!$F$2:$F$145,ENG_Long!$B$2:$B$145,$B14)</f>
        <v>3</v>
      </c>
      <c r="D14" s="18">
        <f>SUMIFS(ENG_Long!$G$2:$G$145,ENG_Long!$B$2:$B$145,$B14)</f>
        <v>0</v>
      </c>
      <c r="E14" s="18">
        <f>SUMIFS(ENG_Long!$H$2:$H$145,ENG_Long!$B$2:$B$145,$B14)</f>
        <v>0</v>
      </c>
      <c r="F14" s="18">
        <f>SUMIFS(ENG_Long!$I$2:$I$145,ENG_Long!$B$2:$B$145,$B14)</f>
        <v>3</v>
      </c>
      <c r="G14" s="18">
        <f>SUMIFS(ENG_Long!$D$2:$D$145,ENG_Long!$B$2:$B$145,$B14)</f>
        <v>0</v>
      </c>
      <c r="H14" s="18">
        <f>SUMIFS(ENG_Long!$E$2:$E$145,ENG_Long!$B$2:$B$145,$B14)</f>
        <v>8</v>
      </c>
      <c r="I14" s="18">
        <f t="shared" si="0"/>
        <v>-8</v>
      </c>
      <c r="J14" s="18">
        <f>SUMIFS(ENG_Long!$J$2:$J$145,ENG_Long!$B$2:$B$145,$B14)</f>
        <v>0</v>
      </c>
      <c r="K14" s="19">
        <v>0</v>
      </c>
      <c r="L14" s="18">
        <f>J14*1000000+(I14+100)*1000+G14*10+K14*0.1+0.001</f>
        <v>92000.001000000004</v>
      </c>
      <c r="M14" s="18">
        <f>RANK(L14,$L$11:$L$14,0)</f>
        <v>4</v>
      </c>
      <c r="N14" s="18" t="str">
        <f t="shared" si="1"/>
        <v>4th</v>
      </c>
      <c r="P14" s="18">
        <f>SUMIFS(ENG_Long!$M$2:$M$145,ENG_Long!$B$2:$B$145,$B14)</f>
        <v>1</v>
      </c>
      <c r="Q14" s="18">
        <f>SUMIFS(ENG_Long!$N$2:$N$145,ENG_Long!$B$2:$B$145,$B14)</f>
        <v>0</v>
      </c>
      <c r="R14" s="18">
        <f>SUMIFS(ENG_Long!$O$2:$O$145,ENG_Long!$B$2:$B$145,$B14)</f>
        <v>0</v>
      </c>
      <c r="S14" s="18">
        <f>SUMIFS(ENG_Long!$P$2:$P$145,ENG_Long!$B$2:$B$145,$B14)</f>
        <v>1</v>
      </c>
      <c r="T14" s="18">
        <f>SUMIFS(ENG_Long!$K$2:$K$145,ENG_Long!$B$2:$B$145,$B14)</f>
        <v>0</v>
      </c>
      <c r="U14" s="18">
        <f>SUMIFS(ENG_Long!$L$2:$L$145,ENG_Long!$B$2:$B$145,$B14)</f>
        <v>1</v>
      </c>
      <c r="V14" s="18">
        <f t="shared" si="2"/>
        <v>-1</v>
      </c>
      <c r="W14" s="18">
        <f>SUMIFS(ENG_Long!$Q$2:$Q$145,ENG_Long!$B$2:$B$145,$B14)</f>
        <v>0</v>
      </c>
      <c r="X14" s="19">
        <v>0</v>
      </c>
      <c r="Y14" s="18">
        <f>W14*1000000+(V14+100)*1000+T14*10+X14*0.1+0.001</f>
        <v>99000.001000000004</v>
      </c>
      <c r="Z14" s="18">
        <f>RANK(Y14,$Y$11:$Y$14,0)</f>
        <v>4</v>
      </c>
      <c r="AA14" s="18" t="str">
        <f t="shared" si="3"/>
        <v>4th</v>
      </c>
    </row>
    <row r="15" spans="1:27" x14ac:dyDescent="0.2">
      <c r="A15" s="20" t="s">
        <v>25</v>
      </c>
      <c r="B15" s="41" t="s">
        <v>26</v>
      </c>
      <c r="C15" s="20">
        <f>SUMIFS(ENG_Long!$F$2:$F$145,ENG_Long!$B$2:$B$145,$B15)</f>
        <v>3</v>
      </c>
      <c r="D15" s="20">
        <f>SUMIFS(ENG_Long!$G$2:$G$145,ENG_Long!$B$2:$B$145,$B15)</f>
        <v>2</v>
      </c>
      <c r="E15" s="20">
        <f>SUMIFS(ENG_Long!$H$2:$H$145,ENG_Long!$B$2:$B$145,$B15)</f>
        <v>1</v>
      </c>
      <c r="F15" s="20">
        <f>SUMIFS(ENG_Long!$I$2:$I$145,ENG_Long!$B$2:$B$145,$B15)</f>
        <v>0</v>
      </c>
      <c r="G15" s="20">
        <f>SUMIFS(ENG_Long!$D$2:$D$145,ENG_Long!$B$2:$B$145,$B15)</f>
        <v>6</v>
      </c>
      <c r="H15" s="20">
        <f>SUMIFS(ENG_Long!$E$2:$E$145,ENG_Long!$B$2:$B$145,$B15)</f>
        <v>3</v>
      </c>
      <c r="I15" s="20">
        <f t="shared" si="0"/>
        <v>3</v>
      </c>
      <c r="J15" s="20">
        <f>SUMIFS(ENG_Long!$J$2:$J$145,ENG_Long!$B$2:$B$145,$B15)</f>
        <v>7</v>
      </c>
      <c r="K15" s="21">
        <v>0</v>
      </c>
      <c r="L15" s="20">
        <f>J15*1000000+(I15+100)*1000+G15*10+K15*0.1+0.004</f>
        <v>7103060.0039999997</v>
      </c>
      <c r="M15" s="20">
        <f>RANK(L15,$L$15:$L$18,0)</f>
        <v>2</v>
      </c>
      <c r="N15" s="20" t="str">
        <f t="shared" si="1"/>
        <v>2nd</v>
      </c>
      <c r="P15" s="20">
        <f>SUMIFS(ENG_Long!$M$2:$M$145,ENG_Long!$B$2:$B$145,$B15)</f>
        <v>1</v>
      </c>
      <c r="Q15" s="20">
        <f>SUMIFS(ENG_Long!$N$2:$N$145,ENG_Long!$B$2:$B$145,$B15)</f>
        <v>1</v>
      </c>
      <c r="R15" s="20">
        <f>SUMIFS(ENG_Long!$O$2:$O$145,ENG_Long!$B$2:$B$145,$B15)</f>
        <v>0</v>
      </c>
      <c r="S15" s="20">
        <f>SUMIFS(ENG_Long!$P$2:$P$145,ENG_Long!$B$2:$B$145,$B15)</f>
        <v>0</v>
      </c>
      <c r="T15" s="20">
        <f>SUMIFS(ENG_Long!$K$2:$K$145,ENG_Long!$B$2:$B$145,$B15)</f>
        <v>4</v>
      </c>
      <c r="U15" s="20">
        <f>SUMIFS(ENG_Long!$L$2:$L$145,ENG_Long!$B$2:$B$145,$B15)</f>
        <v>1</v>
      </c>
      <c r="V15" s="20">
        <f t="shared" si="2"/>
        <v>3</v>
      </c>
      <c r="W15" s="20">
        <f>SUMIFS(ENG_Long!$Q$2:$Q$145,ENG_Long!$B$2:$B$145,$B15)</f>
        <v>3</v>
      </c>
      <c r="X15" s="21">
        <v>0</v>
      </c>
      <c r="Y15" s="20">
        <f>W15*1000000+(V15+100)*1000+T15*10+X15*0.1+0.004</f>
        <v>3103040.0040000002</v>
      </c>
      <c r="Z15" s="20">
        <f>RANK(Y15,$Y$15:$Y$18,0)</f>
        <v>1</v>
      </c>
      <c r="AA15" s="20" t="str">
        <f t="shared" si="3"/>
        <v>1st</v>
      </c>
    </row>
    <row r="16" spans="1:27" x14ac:dyDescent="0.2">
      <c r="A16" s="20" t="s">
        <v>25</v>
      </c>
      <c r="B16" s="41" t="s">
        <v>27</v>
      </c>
      <c r="C16" s="20">
        <f>SUMIFS(ENG_Long!$F$2:$F$145,ENG_Long!$B$2:$B$145,$B16)</f>
        <v>3</v>
      </c>
      <c r="D16" s="20">
        <f>SUMIFS(ENG_Long!$G$2:$G$145,ENG_Long!$B$2:$B$145,$B16)</f>
        <v>0</v>
      </c>
      <c r="E16" s="20">
        <f>SUMIFS(ENG_Long!$H$2:$H$145,ENG_Long!$B$2:$B$145,$B16)</f>
        <v>0</v>
      </c>
      <c r="F16" s="20">
        <f>SUMIFS(ENG_Long!$I$2:$I$145,ENG_Long!$B$2:$B$145,$B16)</f>
        <v>3</v>
      </c>
      <c r="G16" s="20">
        <f>SUMIFS(ENG_Long!$D$2:$D$145,ENG_Long!$B$2:$B$145,$B16)</f>
        <v>2</v>
      </c>
      <c r="H16" s="20">
        <f>SUMIFS(ENG_Long!$E$2:$E$145,ENG_Long!$B$2:$B$145,$B16)</f>
        <v>6</v>
      </c>
      <c r="I16" s="20">
        <f t="shared" si="0"/>
        <v>-4</v>
      </c>
      <c r="J16" s="20">
        <f>SUMIFS(ENG_Long!$J$2:$J$145,ENG_Long!$B$2:$B$145,$B16)</f>
        <v>0</v>
      </c>
      <c r="K16" s="21">
        <v>0</v>
      </c>
      <c r="L16" s="20">
        <f>J16*1000000+(I16+100)*1000+G16*10+K16*0.1+0.003</f>
        <v>96020.002999999997</v>
      </c>
      <c r="M16" s="20">
        <f>RANK(L16,$L$15:$L$18,0)</f>
        <v>4</v>
      </c>
      <c r="N16" s="20" t="str">
        <f t="shared" si="1"/>
        <v>4th</v>
      </c>
      <c r="P16" s="20">
        <f>SUMIFS(ENG_Long!$M$2:$M$145,ENG_Long!$B$2:$B$145,$B16)</f>
        <v>1</v>
      </c>
      <c r="Q16" s="20">
        <f>SUMIFS(ENG_Long!$N$2:$N$145,ENG_Long!$B$2:$B$145,$B16)</f>
        <v>0</v>
      </c>
      <c r="R16" s="20">
        <f>SUMIFS(ENG_Long!$O$2:$O$145,ENG_Long!$B$2:$B$145,$B16)</f>
        <v>0</v>
      </c>
      <c r="S16" s="20">
        <f>SUMIFS(ENG_Long!$P$2:$P$145,ENG_Long!$B$2:$B$145,$B16)</f>
        <v>1</v>
      </c>
      <c r="T16" s="20">
        <f>SUMIFS(ENG_Long!$K$2:$K$145,ENG_Long!$B$2:$B$145,$B16)</f>
        <v>1</v>
      </c>
      <c r="U16" s="20">
        <f>SUMIFS(ENG_Long!$L$2:$L$145,ENG_Long!$B$2:$B$145,$B16)</f>
        <v>4</v>
      </c>
      <c r="V16" s="20">
        <f t="shared" si="2"/>
        <v>-3</v>
      </c>
      <c r="W16" s="20">
        <f>SUMIFS(ENG_Long!$Q$2:$Q$145,ENG_Long!$B$2:$B$145,$B16)</f>
        <v>0</v>
      </c>
      <c r="X16" s="21">
        <v>0</v>
      </c>
      <c r="Y16" s="20">
        <f>W16*1000000+(V16+100)*1000+T16*10+X16*0.1+0.003</f>
        <v>97010.002999999997</v>
      </c>
      <c r="Z16" s="20">
        <f>RANK(Y16,$Y$15:$Y$18,0)</f>
        <v>4</v>
      </c>
      <c r="AA16" s="20" t="str">
        <f t="shared" si="3"/>
        <v>4th</v>
      </c>
    </row>
    <row r="17" spans="1:27" x14ac:dyDescent="0.2">
      <c r="A17" s="20" t="s">
        <v>25</v>
      </c>
      <c r="B17" s="41" t="s">
        <v>28</v>
      </c>
      <c r="C17" s="20">
        <f>SUMIFS(ENG_Long!$F$2:$F$145,ENG_Long!$B$2:$B$145,$B17)</f>
        <v>3</v>
      </c>
      <c r="D17" s="20">
        <f>SUMIFS(ENG_Long!$G$2:$G$145,ENG_Long!$B$2:$B$145,$B17)</f>
        <v>1</v>
      </c>
      <c r="E17" s="20">
        <f>SUMIFS(ENG_Long!$H$2:$H$145,ENG_Long!$B$2:$B$145,$B17)</f>
        <v>0</v>
      </c>
      <c r="F17" s="20">
        <f>SUMIFS(ENG_Long!$I$2:$I$145,ENG_Long!$B$2:$B$145,$B17)</f>
        <v>2</v>
      </c>
      <c r="G17" s="20">
        <f>SUMIFS(ENG_Long!$D$2:$D$145,ENG_Long!$B$2:$B$145,$B17)</f>
        <v>2</v>
      </c>
      <c r="H17" s="20">
        <f>SUMIFS(ENG_Long!$E$2:$E$145,ENG_Long!$B$2:$B$145,$B17)</f>
        <v>6</v>
      </c>
      <c r="I17" s="20">
        <f t="shared" si="0"/>
        <v>-4</v>
      </c>
      <c r="J17" s="20">
        <f>SUMIFS(ENG_Long!$J$2:$J$145,ENG_Long!$B$2:$B$145,$B17)</f>
        <v>3</v>
      </c>
      <c r="K17" s="21">
        <v>0</v>
      </c>
      <c r="L17" s="20">
        <f>J17*1000000+(I17+100)*1000+G17*10+K17*0.1+0.002</f>
        <v>3096020.0019999999</v>
      </c>
      <c r="M17" s="20">
        <f>RANK(L17,$L$15:$L$18,0)</f>
        <v>3</v>
      </c>
      <c r="N17" s="20" t="str">
        <f t="shared" si="1"/>
        <v>3rd</v>
      </c>
      <c r="P17" s="20">
        <f>SUMIFS(ENG_Long!$M$2:$M$145,ENG_Long!$B$2:$B$145,$B17)</f>
        <v>1</v>
      </c>
      <c r="Q17" s="20">
        <f>SUMIFS(ENG_Long!$N$2:$N$145,ENG_Long!$B$2:$B$145,$B17)</f>
        <v>1</v>
      </c>
      <c r="R17" s="20">
        <f>SUMIFS(ENG_Long!$O$2:$O$145,ENG_Long!$B$2:$B$145,$B17)</f>
        <v>0</v>
      </c>
      <c r="S17" s="20">
        <f>SUMIFS(ENG_Long!$P$2:$P$145,ENG_Long!$B$2:$B$145,$B17)</f>
        <v>0</v>
      </c>
      <c r="T17" s="20">
        <f>SUMIFS(ENG_Long!$K$2:$K$145,ENG_Long!$B$2:$B$145,$B17)</f>
        <v>2</v>
      </c>
      <c r="U17" s="20">
        <f>SUMIFS(ENG_Long!$L$2:$L$145,ENG_Long!$B$2:$B$145,$B17)</f>
        <v>0</v>
      </c>
      <c r="V17" s="20">
        <f t="shared" si="2"/>
        <v>2</v>
      </c>
      <c r="W17" s="20">
        <f>SUMIFS(ENG_Long!$Q$2:$Q$145,ENG_Long!$B$2:$B$145,$B17)</f>
        <v>3</v>
      </c>
      <c r="X17" s="21">
        <v>0</v>
      </c>
      <c r="Y17" s="20">
        <f>W17*1000000+(V17+100)*1000+T17*10+X17*0.1+0.002</f>
        <v>3102020.0019999999</v>
      </c>
      <c r="Z17" s="20">
        <f>RANK(Y17,$Y$15:$Y$18,0)</f>
        <v>2</v>
      </c>
      <c r="AA17" s="20" t="str">
        <f t="shared" si="3"/>
        <v>2nd</v>
      </c>
    </row>
    <row r="18" spans="1:27" x14ac:dyDescent="0.2">
      <c r="A18" s="20" t="s">
        <v>25</v>
      </c>
      <c r="B18" s="41" t="s">
        <v>29</v>
      </c>
      <c r="C18" s="20">
        <f>SUMIFS(ENG_Long!$F$2:$F$145,ENG_Long!$B$2:$B$145,$B18)</f>
        <v>3</v>
      </c>
      <c r="D18" s="20">
        <f>SUMIFS(ENG_Long!$G$2:$G$145,ENG_Long!$B$2:$B$145,$B18)</f>
        <v>2</v>
      </c>
      <c r="E18" s="20">
        <f>SUMIFS(ENG_Long!$H$2:$H$145,ENG_Long!$B$2:$B$145,$B18)</f>
        <v>1</v>
      </c>
      <c r="F18" s="20">
        <f>SUMIFS(ENG_Long!$I$2:$I$145,ENG_Long!$B$2:$B$145,$B18)</f>
        <v>0</v>
      </c>
      <c r="G18" s="20">
        <f>SUMIFS(ENG_Long!$D$2:$D$145,ENG_Long!$B$2:$B$145,$B18)</f>
        <v>7</v>
      </c>
      <c r="H18" s="20">
        <f>SUMIFS(ENG_Long!$E$2:$E$145,ENG_Long!$B$2:$B$145,$B18)</f>
        <v>2</v>
      </c>
      <c r="I18" s="20">
        <f t="shared" si="0"/>
        <v>5</v>
      </c>
      <c r="J18" s="20">
        <f>SUMIFS(ENG_Long!$J$2:$J$145,ENG_Long!$B$2:$B$145,$B18)</f>
        <v>7</v>
      </c>
      <c r="K18" s="21">
        <v>0</v>
      </c>
      <c r="L18" s="20">
        <f>J18*1000000+(I18+100)*1000+G18*10+K18*0.1+0.001</f>
        <v>7105070.0010000002</v>
      </c>
      <c r="M18" s="20">
        <f>RANK(L18,$L$15:$L$18,0)</f>
        <v>1</v>
      </c>
      <c r="N18" s="20" t="str">
        <f t="shared" si="1"/>
        <v>1st</v>
      </c>
      <c r="P18" s="20">
        <f>SUMIFS(ENG_Long!$M$2:$M$145,ENG_Long!$B$2:$B$145,$B18)</f>
        <v>1</v>
      </c>
      <c r="Q18" s="20">
        <f>SUMIFS(ENG_Long!$N$2:$N$145,ENG_Long!$B$2:$B$145,$B18)</f>
        <v>0</v>
      </c>
      <c r="R18" s="20">
        <f>SUMIFS(ENG_Long!$O$2:$O$145,ENG_Long!$B$2:$B$145,$B18)</f>
        <v>0</v>
      </c>
      <c r="S18" s="20">
        <f>SUMIFS(ENG_Long!$P$2:$P$145,ENG_Long!$B$2:$B$145,$B18)</f>
        <v>1</v>
      </c>
      <c r="T18" s="20">
        <f>SUMIFS(ENG_Long!$K$2:$K$145,ENG_Long!$B$2:$B$145,$B18)</f>
        <v>0</v>
      </c>
      <c r="U18" s="20">
        <f>SUMIFS(ENG_Long!$L$2:$L$145,ENG_Long!$B$2:$B$145,$B18)</f>
        <v>2</v>
      </c>
      <c r="V18" s="20">
        <f t="shared" si="2"/>
        <v>-2</v>
      </c>
      <c r="W18" s="20">
        <f>SUMIFS(ENG_Long!$Q$2:$Q$145,ENG_Long!$B$2:$B$145,$B18)</f>
        <v>0</v>
      </c>
      <c r="X18" s="21">
        <v>0</v>
      </c>
      <c r="Y18" s="20">
        <f>W18*1000000+(V18+100)*1000+T18*10+X18*0.1+0.001</f>
        <v>98000.001000000004</v>
      </c>
      <c r="Z18" s="20">
        <f>RANK(Y18,$Y$15:$Y$18,0)</f>
        <v>3</v>
      </c>
      <c r="AA18" s="20" t="str">
        <f t="shared" si="3"/>
        <v>3rd</v>
      </c>
    </row>
    <row r="19" spans="1:27" x14ac:dyDescent="0.2">
      <c r="A19" s="22" t="s">
        <v>30</v>
      </c>
      <c r="B19" s="42" t="s">
        <v>31</v>
      </c>
      <c r="C19" s="22">
        <f>SUMIFS(ENG_Long!$F$2:$F$145,ENG_Long!$B$2:$B$145,$B19)</f>
        <v>3</v>
      </c>
      <c r="D19" s="22">
        <f>SUMIFS(ENG_Long!$G$2:$G$145,ENG_Long!$B$2:$B$145,$B19)</f>
        <v>2</v>
      </c>
      <c r="E19" s="22">
        <f>SUMIFS(ENG_Long!$H$2:$H$145,ENG_Long!$B$2:$B$145,$B19)</f>
        <v>0</v>
      </c>
      <c r="F19" s="22">
        <f>SUMIFS(ENG_Long!$I$2:$I$145,ENG_Long!$B$2:$B$145,$B19)</f>
        <v>1</v>
      </c>
      <c r="G19" s="22">
        <f>SUMIFS(ENG_Long!$D$2:$D$145,ENG_Long!$B$2:$B$145,$B19)</f>
        <v>4</v>
      </c>
      <c r="H19" s="22">
        <f>SUMIFS(ENG_Long!$E$2:$E$145,ENG_Long!$B$2:$B$145,$B19)</f>
        <v>2</v>
      </c>
      <c r="I19" s="22">
        <f t="shared" si="0"/>
        <v>2</v>
      </c>
      <c r="J19" s="22">
        <f>SUMIFS(ENG_Long!$J$2:$J$145,ENG_Long!$B$2:$B$145,$B19)</f>
        <v>6</v>
      </c>
      <c r="K19" s="23">
        <v>0</v>
      </c>
      <c r="L19" s="22">
        <f>J19*1000000+(I19+100)*1000+G19*10+K19*0.1+0.004</f>
        <v>6102040.0039999997</v>
      </c>
      <c r="M19" s="22">
        <f>RANK(L19,$L$19:$L$22,0)</f>
        <v>2</v>
      </c>
      <c r="N19" s="22" t="str">
        <f t="shared" si="1"/>
        <v>2nd</v>
      </c>
      <c r="P19" s="22">
        <f>SUMIFS(ENG_Long!$M$2:$M$145,ENG_Long!$B$2:$B$145,$B19)</f>
        <v>1</v>
      </c>
      <c r="Q19" s="22">
        <f>SUMIFS(ENG_Long!$N$2:$N$145,ENG_Long!$B$2:$B$145,$B19)</f>
        <v>1</v>
      </c>
      <c r="R19" s="22">
        <f>SUMIFS(ENG_Long!$O$2:$O$145,ENG_Long!$B$2:$B$145,$B19)</f>
        <v>0</v>
      </c>
      <c r="S19" s="22">
        <f>SUMIFS(ENG_Long!$P$2:$P$145,ENG_Long!$B$2:$B$145,$B19)</f>
        <v>0</v>
      </c>
      <c r="T19" s="22">
        <f>SUMIFS(ENG_Long!$K$2:$K$145,ENG_Long!$B$2:$B$145,$B19)</f>
        <v>7</v>
      </c>
      <c r="U19" s="22">
        <f>SUMIFS(ENG_Long!$L$2:$L$145,ENG_Long!$B$2:$B$145,$B19)</f>
        <v>1</v>
      </c>
      <c r="V19" s="22">
        <f t="shared" si="2"/>
        <v>6</v>
      </c>
      <c r="W19" s="22">
        <f>SUMIFS(ENG_Long!$Q$2:$Q$145,ENG_Long!$B$2:$B$145,$B19)</f>
        <v>3</v>
      </c>
      <c r="X19" s="23">
        <v>0</v>
      </c>
      <c r="Y19" s="22">
        <f>W19*1000000+(V19+100)*1000+T19*10+X19*0.1+0.004</f>
        <v>3106070.0040000002</v>
      </c>
      <c r="Z19" s="22">
        <f>RANK(Y19,$Y$19:$Y$22,0)</f>
        <v>1</v>
      </c>
      <c r="AA19" s="22" t="str">
        <f t="shared" si="3"/>
        <v>1st</v>
      </c>
    </row>
    <row r="20" spans="1:27" x14ac:dyDescent="0.2">
      <c r="A20" s="22" t="s">
        <v>30</v>
      </c>
      <c r="B20" s="42" t="s">
        <v>32</v>
      </c>
      <c r="C20" s="22">
        <f>SUMIFS(ENG_Long!$F$2:$F$145,ENG_Long!$B$2:$B$145,$B20)</f>
        <v>3</v>
      </c>
      <c r="D20" s="22">
        <f>SUMIFS(ENG_Long!$G$2:$G$145,ENG_Long!$B$2:$B$145,$B20)</f>
        <v>3</v>
      </c>
      <c r="E20" s="22">
        <f>SUMIFS(ENG_Long!$H$2:$H$145,ENG_Long!$B$2:$B$145,$B20)</f>
        <v>0</v>
      </c>
      <c r="F20" s="22">
        <f>SUMIFS(ENG_Long!$I$2:$I$145,ENG_Long!$B$2:$B$145,$B20)</f>
        <v>0</v>
      </c>
      <c r="G20" s="22">
        <f>SUMIFS(ENG_Long!$D$2:$D$145,ENG_Long!$B$2:$B$145,$B20)</f>
        <v>6</v>
      </c>
      <c r="H20" s="22">
        <f>SUMIFS(ENG_Long!$E$2:$E$145,ENG_Long!$B$2:$B$145,$B20)</f>
        <v>1</v>
      </c>
      <c r="I20" s="22">
        <f t="shared" si="0"/>
        <v>5</v>
      </c>
      <c r="J20" s="22">
        <f>SUMIFS(ENG_Long!$J$2:$J$145,ENG_Long!$B$2:$B$145,$B20)</f>
        <v>9</v>
      </c>
      <c r="K20" s="23">
        <v>0</v>
      </c>
      <c r="L20" s="22">
        <f>J20*1000000+(I20+100)*1000+G20*10+K20*0.1+0.003</f>
        <v>9105060.0030000005</v>
      </c>
      <c r="M20" s="22">
        <f>RANK(L20,$L$19:$L$22,0)</f>
        <v>1</v>
      </c>
      <c r="N20" s="22" t="str">
        <f t="shared" si="1"/>
        <v>1st</v>
      </c>
      <c r="P20" s="22">
        <f>SUMIFS(ENG_Long!$M$2:$M$145,ENG_Long!$B$2:$B$145,$B20)</f>
        <v>1</v>
      </c>
      <c r="Q20" s="22">
        <f>SUMIFS(ENG_Long!$N$2:$N$145,ENG_Long!$B$2:$B$145,$B20)</f>
        <v>0</v>
      </c>
      <c r="R20" s="22">
        <f>SUMIFS(ENG_Long!$O$2:$O$145,ENG_Long!$B$2:$B$145,$B20)</f>
        <v>0</v>
      </c>
      <c r="S20" s="22">
        <f>SUMIFS(ENG_Long!$P$2:$P$145,ENG_Long!$B$2:$B$145,$B20)</f>
        <v>1</v>
      </c>
      <c r="T20" s="22">
        <f>SUMIFS(ENG_Long!$K$2:$K$145,ENG_Long!$B$2:$B$145,$B20)</f>
        <v>0</v>
      </c>
      <c r="U20" s="22">
        <f>SUMIFS(ENG_Long!$L$2:$L$145,ENG_Long!$B$2:$B$145,$B20)</f>
        <v>1</v>
      </c>
      <c r="V20" s="22">
        <f t="shared" si="2"/>
        <v>-1</v>
      </c>
      <c r="W20" s="22">
        <f>SUMIFS(ENG_Long!$Q$2:$Q$145,ENG_Long!$B$2:$B$145,$B20)</f>
        <v>0</v>
      </c>
      <c r="X20" s="23">
        <v>0</v>
      </c>
      <c r="Y20" s="22">
        <f>W20*1000000+(V20+100)*1000+T20*10+X20*0.1+0.003</f>
        <v>99000.002999999997</v>
      </c>
      <c r="Z20" s="22">
        <f>RANK(Y20,$Y$19:$Y$22,0)</f>
        <v>3</v>
      </c>
      <c r="AA20" s="22" t="str">
        <f t="shared" si="3"/>
        <v>3rd</v>
      </c>
    </row>
    <row r="21" spans="1:27" x14ac:dyDescent="0.2">
      <c r="A21" s="22" t="s">
        <v>30</v>
      </c>
      <c r="B21" s="42" t="s">
        <v>33</v>
      </c>
      <c r="C21" s="22">
        <f>SUMIFS(ENG_Long!$F$2:$F$145,ENG_Long!$B$2:$B$145,$B21)</f>
        <v>3</v>
      </c>
      <c r="D21" s="22">
        <f>SUMIFS(ENG_Long!$G$2:$G$145,ENG_Long!$B$2:$B$145,$B21)</f>
        <v>0</v>
      </c>
      <c r="E21" s="22">
        <f>SUMIFS(ENG_Long!$H$2:$H$145,ENG_Long!$B$2:$B$145,$B21)</f>
        <v>1</v>
      </c>
      <c r="F21" s="22">
        <f>SUMIFS(ENG_Long!$I$2:$I$145,ENG_Long!$B$2:$B$145,$B21)</f>
        <v>2</v>
      </c>
      <c r="G21" s="22">
        <f>SUMIFS(ENG_Long!$D$2:$D$145,ENG_Long!$B$2:$B$145,$B21)</f>
        <v>1</v>
      </c>
      <c r="H21" s="22">
        <f>SUMIFS(ENG_Long!$E$2:$E$145,ENG_Long!$B$2:$B$145,$B21)</f>
        <v>4</v>
      </c>
      <c r="I21" s="22">
        <f t="shared" si="0"/>
        <v>-3</v>
      </c>
      <c r="J21" s="22">
        <f>SUMIFS(ENG_Long!$J$2:$J$145,ENG_Long!$B$2:$B$145,$B21)</f>
        <v>1</v>
      </c>
      <c r="K21" s="23">
        <v>0</v>
      </c>
      <c r="L21" s="22">
        <f>J21*1000000+(I21+100)*1000+G21*10+K21*0.1+0.002</f>
        <v>1097010.0020000001</v>
      </c>
      <c r="M21" s="22">
        <f>RANK(L21,$L$19:$L$22,0)</f>
        <v>3</v>
      </c>
      <c r="N21" s="22" t="str">
        <f t="shared" si="1"/>
        <v>3rd</v>
      </c>
      <c r="P21" s="22">
        <f>SUMIFS(ENG_Long!$M$2:$M$145,ENG_Long!$B$2:$B$145,$B21)</f>
        <v>1</v>
      </c>
      <c r="Q21" s="22">
        <f>SUMIFS(ENG_Long!$N$2:$N$145,ENG_Long!$B$2:$B$145,$B21)</f>
        <v>1</v>
      </c>
      <c r="R21" s="22">
        <f>SUMIFS(ENG_Long!$O$2:$O$145,ENG_Long!$B$2:$B$145,$B21)</f>
        <v>0</v>
      </c>
      <c r="S21" s="22">
        <f>SUMIFS(ENG_Long!$P$2:$P$145,ENG_Long!$B$2:$B$145,$B21)</f>
        <v>0</v>
      </c>
      <c r="T21" s="22">
        <f>SUMIFS(ENG_Long!$K$2:$K$145,ENG_Long!$B$2:$B$145,$B21)</f>
        <v>1</v>
      </c>
      <c r="U21" s="22">
        <f>SUMIFS(ENG_Long!$L$2:$L$145,ENG_Long!$B$2:$B$145,$B21)</f>
        <v>0</v>
      </c>
      <c r="V21" s="22">
        <f t="shared" si="2"/>
        <v>1</v>
      </c>
      <c r="W21" s="22">
        <f>SUMIFS(ENG_Long!$Q$2:$Q$145,ENG_Long!$B$2:$B$145,$B21)</f>
        <v>3</v>
      </c>
      <c r="X21" s="23">
        <v>0</v>
      </c>
      <c r="Y21" s="22">
        <f>W21*1000000+(V21+100)*1000+T21*10+X21*0.1+0.002</f>
        <v>3101010.0019999999</v>
      </c>
      <c r="Z21" s="22">
        <f>RANK(Y21,$Y$19:$Y$22,0)</f>
        <v>2</v>
      </c>
      <c r="AA21" s="22" t="str">
        <f t="shared" si="3"/>
        <v>2nd</v>
      </c>
    </row>
    <row r="22" spans="1:27" x14ac:dyDescent="0.2">
      <c r="A22" s="22" t="s">
        <v>30</v>
      </c>
      <c r="B22" s="42" t="s">
        <v>34</v>
      </c>
      <c r="C22" s="22">
        <f>SUMIFS(ENG_Long!$F$2:$F$145,ENG_Long!$B$2:$B$145,$B22)</f>
        <v>3</v>
      </c>
      <c r="D22" s="22">
        <f>SUMIFS(ENG_Long!$G$2:$G$145,ENG_Long!$B$2:$B$145,$B22)</f>
        <v>0</v>
      </c>
      <c r="E22" s="22">
        <f>SUMIFS(ENG_Long!$H$2:$H$145,ENG_Long!$B$2:$B$145,$B22)</f>
        <v>1</v>
      </c>
      <c r="F22" s="22">
        <f>SUMIFS(ENG_Long!$I$2:$I$145,ENG_Long!$B$2:$B$145,$B22)</f>
        <v>2</v>
      </c>
      <c r="G22" s="22">
        <f>SUMIFS(ENG_Long!$D$2:$D$145,ENG_Long!$B$2:$B$145,$B22)</f>
        <v>1</v>
      </c>
      <c r="H22" s="22">
        <f>SUMIFS(ENG_Long!$E$2:$E$145,ENG_Long!$B$2:$B$145,$B22)</f>
        <v>5</v>
      </c>
      <c r="I22" s="22">
        <f t="shared" si="0"/>
        <v>-4</v>
      </c>
      <c r="J22" s="22">
        <f>SUMIFS(ENG_Long!$J$2:$J$145,ENG_Long!$B$2:$B$145,$B22)</f>
        <v>1</v>
      </c>
      <c r="K22" s="23">
        <v>0</v>
      </c>
      <c r="L22" s="22">
        <f>J22*1000000+(I22+100)*1000+G22*10+K22*0.1+0.001</f>
        <v>1096010.0009999999</v>
      </c>
      <c r="M22" s="22">
        <f>RANK(L22,$L$19:$L$22,0)</f>
        <v>4</v>
      </c>
      <c r="N22" s="22" t="str">
        <f t="shared" si="1"/>
        <v>4th</v>
      </c>
      <c r="P22" s="22">
        <f>SUMIFS(ENG_Long!$M$2:$M$145,ENG_Long!$B$2:$B$145,$B22)</f>
        <v>1</v>
      </c>
      <c r="Q22" s="22">
        <f>SUMIFS(ENG_Long!$N$2:$N$145,ENG_Long!$B$2:$B$145,$B22)</f>
        <v>0</v>
      </c>
      <c r="R22" s="22">
        <f>SUMIFS(ENG_Long!$O$2:$O$145,ENG_Long!$B$2:$B$145,$B22)</f>
        <v>0</v>
      </c>
      <c r="S22" s="22">
        <f>SUMIFS(ENG_Long!$P$2:$P$145,ENG_Long!$B$2:$B$145,$B22)</f>
        <v>1</v>
      </c>
      <c r="T22" s="22">
        <f>SUMIFS(ENG_Long!$K$2:$K$145,ENG_Long!$B$2:$B$145,$B22)</f>
        <v>1</v>
      </c>
      <c r="U22" s="22">
        <f>SUMIFS(ENG_Long!$L$2:$L$145,ENG_Long!$B$2:$B$145,$B22)</f>
        <v>7</v>
      </c>
      <c r="V22" s="22">
        <f t="shared" si="2"/>
        <v>-6</v>
      </c>
      <c r="W22" s="22">
        <f>SUMIFS(ENG_Long!$Q$2:$Q$145,ENG_Long!$B$2:$B$145,$B22)</f>
        <v>0</v>
      </c>
      <c r="X22" s="23">
        <v>0</v>
      </c>
      <c r="Y22" s="22">
        <f>W22*1000000+(V22+100)*1000+T22*10+X22*0.1+0.001</f>
        <v>94010.001000000004</v>
      </c>
      <c r="Z22" s="22">
        <f>RANK(Y22,$Y$19:$Y$22,0)</f>
        <v>4</v>
      </c>
      <c r="AA22" s="22" t="str">
        <f t="shared" si="3"/>
        <v>4th</v>
      </c>
    </row>
    <row r="23" spans="1:27" x14ac:dyDescent="0.2">
      <c r="A23" s="24" t="s">
        <v>35</v>
      </c>
      <c r="B23" s="43" t="s">
        <v>36</v>
      </c>
      <c r="C23" s="24">
        <f>SUMIFS(ENG_Long!$F$2:$F$145,ENG_Long!$B$2:$B$145,$B23)</f>
        <v>3</v>
      </c>
      <c r="D23" s="24">
        <f>SUMIFS(ENG_Long!$G$2:$G$145,ENG_Long!$B$2:$B$145,$B23)</f>
        <v>3</v>
      </c>
      <c r="E23" s="24">
        <f>SUMIFS(ENG_Long!$H$2:$H$145,ENG_Long!$B$2:$B$145,$B23)</f>
        <v>0</v>
      </c>
      <c r="F23" s="24">
        <f>SUMIFS(ENG_Long!$I$2:$I$145,ENG_Long!$B$2:$B$145,$B23)</f>
        <v>0</v>
      </c>
      <c r="G23" s="24">
        <f>SUMIFS(ENG_Long!$D$2:$D$145,ENG_Long!$B$2:$B$145,$B23)</f>
        <v>5</v>
      </c>
      <c r="H23" s="24">
        <f>SUMIFS(ENG_Long!$E$2:$E$145,ENG_Long!$B$2:$B$145,$B23)</f>
        <v>2</v>
      </c>
      <c r="I23" s="24">
        <f t="shared" si="0"/>
        <v>3</v>
      </c>
      <c r="J23" s="24">
        <f>SUMIFS(ENG_Long!$J$2:$J$145,ENG_Long!$B$2:$B$145,$B23)</f>
        <v>9</v>
      </c>
      <c r="K23" s="25">
        <v>0</v>
      </c>
      <c r="L23" s="24">
        <f>J23*1000000+(I23+100)*1000+G23*10+K23*0.1+0.004</f>
        <v>9103050.0040000007</v>
      </c>
      <c r="M23" s="24">
        <f>RANK(L23,$L$23:$L$26,0)</f>
        <v>1</v>
      </c>
      <c r="N23" s="24" t="str">
        <f t="shared" si="1"/>
        <v>1st</v>
      </c>
      <c r="P23" s="24">
        <f>SUMIFS(ENG_Long!$M$2:$M$145,ENG_Long!$B$2:$B$145,$B23)</f>
        <v>1</v>
      </c>
      <c r="Q23" s="24">
        <f>SUMIFS(ENG_Long!$N$2:$N$145,ENG_Long!$B$2:$B$145,$B23)</f>
        <v>0</v>
      </c>
      <c r="R23" s="24">
        <f>SUMIFS(ENG_Long!$O$2:$O$145,ENG_Long!$B$2:$B$145,$B23)</f>
        <v>1</v>
      </c>
      <c r="S23" s="24">
        <f>SUMIFS(ENG_Long!$P$2:$P$145,ENG_Long!$B$2:$B$145,$B23)</f>
        <v>0</v>
      </c>
      <c r="T23" s="24">
        <f>SUMIFS(ENG_Long!$K$2:$K$145,ENG_Long!$B$2:$B$145,$B23)</f>
        <v>2</v>
      </c>
      <c r="U23" s="24">
        <f>SUMIFS(ENG_Long!$L$2:$L$145,ENG_Long!$B$2:$B$145,$B23)</f>
        <v>2</v>
      </c>
      <c r="V23" s="24">
        <f t="shared" si="2"/>
        <v>0</v>
      </c>
      <c r="W23" s="24">
        <f>SUMIFS(ENG_Long!$Q$2:$Q$145,ENG_Long!$B$2:$B$145,$B23)</f>
        <v>1</v>
      </c>
      <c r="X23" s="25">
        <v>0</v>
      </c>
      <c r="Y23" s="24">
        <f>W23*1000000+(V23+100)*1000+T23*10+X23*0.1+0.004</f>
        <v>1100020.004</v>
      </c>
      <c r="Z23" s="24">
        <f>RANK(Y23,$Y$23:$Y$26,0)</f>
        <v>2</v>
      </c>
      <c r="AA23" s="24" t="str">
        <f t="shared" si="3"/>
        <v>2nd</v>
      </c>
    </row>
    <row r="24" spans="1:27" x14ac:dyDescent="0.2">
      <c r="A24" s="24" t="s">
        <v>35</v>
      </c>
      <c r="B24" s="43" t="s">
        <v>37</v>
      </c>
      <c r="C24" s="24">
        <f>SUMIFS(ENG_Long!$F$2:$F$145,ENG_Long!$B$2:$B$145,$B24)</f>
        <v>3</v>
      </c>
      <c r="D24" s="24">
        <f>SUMIFS(ENG_Long!$G$2:$G$145,ENG_Long!$B$2:$B$145,$B24)</f>
        <v>2</v>
      </c>
      <c r="E24" s="24">
        <f>SUMIFS(ENG_Long!$H$2:$H$145,ENG_Long!$B$2:$B$145,$B24)</f>
        <v>0</v>
      </c>
      <c r="F24" s="24">
        <f>SUMIFS(ENG_Long!$I$2:$I$145,ENG_Long!$B$2:$B$145,$B24)</f>
        <v>1</v>
      </c>
      <c r="G24" s="24">
        <f>SUMIFS(ENG_Long!$D$2:$D$145,ENG_Long!$B$2:$B$145,$B24)</f>
        <v>4</v>
      </c>
      <c r="H24" s="24">
        <f>SUMIFS(ENG_Long!$E$2:$E$145,ENG_Long!$B$2:$B$145,$B24)</f>
        <v>2</v>
      </c>
      <c r="I24" s="24">
        <f t="shared" si="0"/>
        <v>2</v>
      </c>
      <c r="J24" s="24">
        <f>SUMIFS(ENG_Long!$J$2:$J$145,ENG_Long!$B$2:$B$145,$B24)</f>
        <v>6</v>
      </c>
      <c r="K24" s="25">
        <v>0</v>
      </c>
      <c r="L24" s="24">
        <f>J24*1000000+(I24+100)*1000+G24*10+K24*0.1+0.003</f>
        <v>6102040.0029999996</v>
      </c>
      <c r="M24" s="24">
        <f>RANK(L24,$L$23:$L$26,0)</f>
        <v>2</v>
      </c>
      <c r="N24" s="24" t="str">
        <f t="shared" si="1"/>
        <v>2nd</v>
      </c>
      <c r="P24" s="24">
        <f>SUMIFS(ENG_Long!$M$2:$M$145,ENG_Long!$B$2:$B$145,$B24)</f>
        <v>1</v>
      </c>
      <c r="Q24" s="24">
        <f>SUMIFS(ENG_Long!$N$2:$N$145,ENG_Long!$B$2:$B$145,$B24)</f>
        <v>0</v>
      </c>
      <c r="R24" s="24">
        <f>SUMIFS(ENG_Long!$O$2:$O$145,ENG_Long!$B$2:$B$145,$B24)</f>
        <v>1</v>
      </c>
      <c r="S24" s="24">
        <f>SUMIFS(ENG_Long!$P$2:$P$145,ENG_Long!$B$2:$B$145,$B24)</f>
        <v>0</v>
      </c>
      <c r="T24" s="24">
        <f>SUMIFS(ENG_Long!$K$2:$K$145,ENG_Long!$B$2:$B$145,$B24)</f>
        <v>2</v>
      </c>
      <c r="U24" s="24">
        <f>SUMIFS(ENG_Long!$L$2:$L$145,ENG_Long!$B$2:$B$145,$B24)</f>
        <v>2</v>
      </c>
      <c r="V24" s="24">
        <f t="shared" si="2"/>
        <v>0</v>
      </c>
      <c r="W24" s="24">
        <f>SUMIFS(ENG_Long!$Q$2:$Q$145,ENG_Long!$B$2:$B$145,$B24)</f>
        <v>1</v>
      </c>
      <c r="X24" s="25">
        <v>0</v>
      </c>
      <c r="Y24" s="24">
        <f>W24*1000000+(V24+100)*1000+T24*10+X24*0.1+0.003</f>
        <v>1100020.003</v>
      </c>
      <c r="Z24" s="24">
        <f>RANK(Y24,$Y$23:$Y$26,0)</f>
        <v>3</v>
      </c>
      <c r="AA24" s="24" t="str">
        <f t="shared" si="3"/>
        <v>3rd</v>
      </c>
    </row>
    <row r="25" spans="1:27" x14ac:dyDescent="0.2">
      <c r="A25" s="24" t="s">
        <v>35</v>
      </c>
      <c r="B25" s="43" t="s">
        <v>38</v>
      </c>
      <c r="C25" s="24">
        <f>SUMIFS(ENG_Long!$F$2:$F$145,ENG_Long!$B$2:$B$145,$B25)</f>
        <v>3</v>
      </c>
      <c r="D25" s="24">
        <f>SUMIFS(ENG_Long!$G$2:$G$145,ENG_Long!$B$2:$B$145,$B25)</f>
        <v>0</v>
      </c>
      <c r="E25" s="24">
        <f>SUMIFS(ENG_Long!$H$2:$H$145,ENG_Long!$B$2:$B$145,$B25)</f>
        <v>0</v>
      </c>
      <c r="F25" s="24">
        <f>SUMIFS(ENG_Long!$I$2:$I$145,ENG_Long!$B$2:$B$145,$B25)</f>
        <v>3</v>
      </c>
      <c r="G25" s="24">
        <f>SUMIFS(ENG_Long!$D$2:$D$145,ENG_Long!$B$2:$B$145,$B25)</f>
        <v>1</v>
      </c>
      <c r="H25" s="24">
        <f>SUMIFS(ENG_Long!$E$2:$E$145,ENG_Long!$B$2:$B$145,$B25)</f>
        <v>5</v>
      </c>
      <c r="I25" s="24">
        <f t="shared" si="0"/>
        <v>-4</v>
      </c>
      <c r="J25" s="24">
        <f>SUMIFS(ENG_Long!$J$2:$J$145,ENG_Long!$B$2:$B$145,$B25)</f>
        <v>0</v>
      </c>
      <c r="K25" s="25">
        <v>0</v>
      </c>
      <c r="L25" s="24">
        <f>J25*1000000+(I25+100)*1000+G25*10+K25*0.1+0.002</f>
        <v>96010.001999999993</v>
      </c>
      <c r="M25" s="24">
        <f>RANK(L25,$L$23:$L$26,0)</f>
        <v>4</v>
      </c>
      <c r="N25" s="24" t="str">
        <f t="shared" si="1"/>
        <v>4th</v>
      </c>
      <c r="P25" s="24">
        <f>SUMIFS(ENG_Long!$M$2:$M$145,ENG_Long!$B$2:$B$145,$B25)</f>
        <v>1</v>
      </c>
      <c r="Q25" s="24">
        <f>SUMIFS(ENG_Long!$N$2:$N$145,ENG_Long!$B$2:$B$145,$B25)</f>
        <v>0</v>
      </c>
      <c r="R25" s="24">
        <f>SUMIFS(ENG_Long!$O$2:$O$145,ENG_Long!$B$2:$B$145,$B25)</f>
        <v>0</v>
      </c>
      <c r="S25" s="24">
        <f>SUMIFS(ENG_Long!$P$2:$P$145,ENG_Long!$B$2:$B$145,$B25)</f>
        <v>1</v>
      </c>
      <c r="T25" s="24">
        <f>SUMIFS(ENG_Long!$K$2:$K$145,ENG_Long!$B$2:$B$145,$B25)</f>
        <v>1</v>
      </c>
      <c r="U25" s="24">
        <f>SUMIFS(ENG_Long!$L$2:$L$145,ENG_Long!$B$2:$B$145,$B25)</f>
        <v>5</v>
      </c>
      <c r="V25" s="24">
        <f t="shared" si="2"/>
        <v>-4</v>
      </c>
      <c r="W25" s="24">
        <f>SUMIFS(ENG_Long!$Q$2:$Q$145,ENG_Long!$B$2:$B$145,$B25)</f>
        <v>0</v>
      </c>
      <c r="X25" s="25">
        <v>0</v>
      </c>
      <c r="Y25" s="24">
        <f>W25*1000000+(V25+100)*1000+T25*10+X25*0.1+0.002</f>
        <v>96010.001999999993</v>
      </c>
      <c r="Z25" s="24">
        <f>RANK(Y25,$Y$23:$Y$26,0)</f>
        <v>4</v>
      </c>
      <c r="AA25" s="24" t="str">
        <f t="shared" si="3"/>
        <v>4th</v>
      </c>
    </row>
    <row r="26" spans="1:27" x14ac:dyDescent="0.2">
      <c r="A26" s="24" t="s">
        <v>35</v>
      </c>
      <c r="B26" s="43" t="s">
        <v>39</v>
      </c>
      <c r="C26" s="24">
        <f>SUMIFS(ENG_Long!$F$2:$F$145,ENG_Long!$B$2:$B$145,$B26)</f>
        <v>3</v>
      </c>
      <c r="D26" s="24">
        <f>SUMIFS(ENG_Long!$G$2:$G$145,ENG_Long!$B$2:$B$145,$B26)</f>
        <v>1</v>
      </c>
      <c r="E26" s="24">
        <f>SUMIFS(ENG_Long!$H$2:$H$145,ENG_Long!$B$2:$B$145,$B26)</f>
        <v>0</v>
      </c>
      <c r="F26" s="24">
        <f>SUMIFS(ENG_Long!$I$2:$I$145,ENG_Long!$B$2:$B$145,$B26)</f>
        <v>2</v>
      </c>
      <c r="G26" s="24">
        <f>SUMIFS(ENG_Long!$D$2:$D$145,ENG_Long!$B$2:$B$145,$B26)</f>
        <v>3</v>
      </c>
      <c r="H26" s="24">
        <f>SUMIFS(ENG_Long!$E$2:$E$145,ENG_Long!$B$2:$B$145,$B26)</f>
        <v>4</v>
      </c>
      <c r="I26" s="24">
        <f t="shared" si="0"/>
        <v>-1</v>
      </c>
      <c r="J26" s="24">
        <f>SUMIFS(ENG_Long!$J$2:$J$145,ENG_Long!$B$2:$B$145,$B26)</f>
        <v>3</v>
      </c>
      <c r="K26" s="25">
        <v>0</v>
      </c>
      <c r="L26" s="24">
        <f>J26*1000000+(I26+100)*1000+G26*10+K26*0.1+0.001</f>
        <v>3099030.0010000002</v>
      </c>
      <c r="M26" s="24">
        <f>RANK(L26,$L$23:$L$26,0)</f>
        <v>3</v>
      </c>
      <c r="N26" s="24" t="str">
        <f t="shared" si="1"/>
        <v>3rd</v>
      </c>
      <c r="P26" s="24">
        <f>SUMIFS(ENG_Long!$M$2:$M$145,ENG_Long!$B$2:$B$145,$B26)</f>
        <v>1</v>
      </c>
      <c r="Q26" s="24">
        <f>SUMIFS(ENG_Long!$N$2:$N$145,ENG_Long!$B$2:$B$145,$B26)</f>
        <v>1</v>
      </c>
      <c r="R26" s="24">
        <f>SUMIFS(ENG_Long!$O$2:$O$145,ENG_Long!$B$2:$B$145,$B26)</f>
        <v>0</v>
      </c>
      <c r="S26" s="24">
        <f>SUMIFS(ENG_Long!$P$2:$P$145,ENG_Long!$B$2:$B$145,$B26)</f>
        <v>0</v>
      </c>
      <c r="T26" s="24">
        <f>SUMIFS(ENG_Long!$K$2:$K$145,ENG_Long!$B$2:$B$145,$B26)</f>
        <v>5</v>
      </c>
      <c r="U26" s="24">
        <f>SUMIFS(ENG_Long!$L$2:$L$145,ENG_Long!$B$2:$B$145,$B26)</f>
        <v>1</v>
      </c>
      <c r="V26" s="24">
        <f t="shared" si="2"/>
        <v>4</v>
      </c>
      <c r="W26" s="24">
        <f>SUMIFS(ENG_Long!$Q$2:$Q$145,ENG_Long!$B$2:$B$145,$B26)</f>
        <v>3</v>
      </c>
      <c r="X26" s="25">
        <v>0</v>
      </c>
      <c r="Y26" s="24">
        <f>W26*1000000+(V26+100)*1000+T26*10+X26*0.1+0.001</f>
        <v>3104050.0010000002</v>
      </c>
      <c r="Z26" s="24">
        <f>RANK(Y26,$Y$23:$Y$26,0)</f>
        <v>1</v>
      </c>
      <c r="AA26" s="24" t="str">
        <f t="shared" si="3"/>
        <v>1st</v>
      </c>
    </row>
    <row r="27" spans="1:27" x14ac:dyDescent="0.2">
      <c r="A27" s="26" t="s">
        <v>40</v>
      </c>
      <c r="B27" s="44" t="s">
        <v>41</v>
      </c>
      <c r="C27" s="26">
        <f>SUMIFS(ENG_Long!$F$2:$F$145,ENG_Long!$B$2:$B$145,$B27)</f>
        <v>3</v>
      </c>
      <c r="D27" s="26">
        <f>SUMIFS(ENG_Long!$G$2:$G$145,ENG_Long!$B$2:$B$145,$B27)</f>
        <v>2</v>
      </c>
      <c r="E27" s="26">
        <f>SUMIFS(ENG_Long!$H$2:$H$145,ENG_Long!$B$2:$B$145,$B27)</f>
        <v>1</v>
      </c>
      <c r="F27" s="26">
        <f>SUMIFS(ENG_Long!$I$2:$I$145,ENG_Long!$B$2:$B$145,$B27)</f>
        <v>0</v>
      </c>
      <c r="G27" s="26">
        <f>SUMIFS(ENG_Long!$D$2:$D$145,ENG_Long!$B$2:$B$145,$B27)</f>
        <v>5</v>
      </c>
      <c r="H27" s="26">
        <f>SUMIFS(ENG_Long!$E$2:$E$145,ENG_Long!$B$2:$B$145,$B27)</f>
        <v>2</v>
      </c>
      <c r="I27" s="26">
        <f t="shared" si="0"/>
        <v>3</v>
      </c>
      <c r="J27" s="26">
        <f>SUMIFS(ENG_Long!$J$2:$J$145,ENG_Long!$B$2:$B$145,$B27)</f>
        <v>7</v>
      </c>
      <c r="K27" s="27">
        <v>0</v>
      </c>
      <c r="L27" s="26">
        <f>J27*1000000+(I27+100)*1000+G27*10+K27*0.1+0.004</f>
        <v>7103050.0039999997</v>
      </c>
      <c r="M27" s="26">
        <f>RANK(L27,$L$27:$L$30,0)</f>
        <v>2</v>
      </c>
      <c r="N27" s="26" t="str">
        <f t="shared" si="1"/>
        <v>2nd</v>
      </c>
      <c r="P27" s="26">
        <f>SUMIFS(ENG_Long!$M$2:$M$145,ENG_Long!$B$2:$B$145,$B27)</f>
        <v>0</v>
      </c>
      <c r="Q27" s="26">
        <f>SUMIFS(ENG_Long!$N$2:$N$145,ENG_Long!$B$2:$B$145,$B27)</f>
        <v>0</v>
      </c>
      <c r="R27" s="26">
        <f>SUMIFS(ENG_Long!$O$2:$O$145,ENG_Long!$B$2:$B$145,$B27)</f>
        <v>0</v>
      </c>
      <c r="S27" s="26">
        <f>SUMIFS(ENG_Long!$P$2:$P$145,ENG_Long!$B$2:$B$145,$B27)</f>
        <v>0</v>
      </c>
      <c r="T27" s="26">
        <f>SUMIFS(ENG_Long!$K$2:$K$145,ENG_Long!$B$2:$B$145,$B27)</f>
        <v>0</v>
      </c>
      <c r="U27" s="26">
        <f>SUMIFS(ENG_Long!$L$2:$L$145,ENG_Long!$B$2:$B$145,$B27)</f>
        <v>0</v>
      </c>
      <c r="V27" s="26">
        <f t="shared" si="2"/>
        <v>0</v>
      </c>
      <c r="W27" s="26">
        <f>SUMIFS(ENG_Long!$Q$2:$Q$145,ENG_Long!$B$2:$B$145,$B27)</f>
        <v>0</v>
      </c>
      <c r="X27" s="27">
        <v>0</v>
      </c>
      <c r="Y27" s="26">
        <f>W27*1000000+(V27+100)*1000+T27*10+X27*0.1+0.004</f>
        <v>100000.004</v>
      </c>
      <c r="Z27" s="26">
        <f>RANK(Y27,$Y$27:$Y$30,0)</f>
        <v>1</v>
      </c>
      <c r="AA27" s="26" t="str">
        <f t="shared" si="3"/>
        <v>1st</v>
      </c>
    </row>
    <row r="28" spans="1:27" x14ac:dyDescent="0.2">
      <c r="A28" s="26" t="s">
        <v>40</v>
      </c>
      <c r="B28" s="44" t="s">
        <v>42</v>
      </c>
      <c r="C28" s="26">
        <f>SUMIFS(ENG_Long!$F$2:$F$145,ENG_Long!$B$2:$B$145,$B28)</f>
        <v>3</v>
      </c>
      <c r="D28" s="26">
        <f>SUMIFS(ENG_Long!$G$2:$G$145,ENG_Long!$B$2:$B$145,$B28)</f>
        <v>0</v>
      </c>
      <c r="E28" s="26">
        <f>SUMIFS(ENG_Long!$H$2:$H$145,ENG_Long!$B$2:$B$145,$B28)</f>
        <v>1</v>
      </c>
      <c r="F28" s="26">
        <f>SUMIFS(ENG_Long!$I$2:$I$145,ENG_Long!$B$2:$B$145,$B28)</f>
        <v>2</v>
      </c>
      <c r="G28" s="26">
        <f>SUMIFS(ENG_Long!$D$2:$D$145,ENG_Long!$B$2:$B$145,$B28)</f>
        <v>1</v>
      </c>
      <c r="H28" s="26">
        <f>SUMIFS(ENG_Long!$E$2:$E$145,ENG_Long!$B$2:$B$145,$B28)</f>
        <v>4</v>
      </c>
      <c r="I28" s="26">
        <f t="shared" si="0"/>
        <v>-3</v>
      </c>
      <c r="J28" s="26">
        <f>SUMIFS(ENG_Long!$J$2:$J$145,ENG_Long!$B$2:$B$145,$B28)</f>
        <v>1</v>
      </c>
      <c r="K28" s="27">
        <v>0</v>
      </c>
      <c r="L28" s="26">
        <f>J28*1000000+(I28+100)*1000+G28*10+K28*0.1+0.003</f>
        <v>1097010.003</v>
      </c>
      <c r="M28" s="26">
        <f>RANK(L28,$L$27:$L$30,0)</f>
        <v>3</v>
      </c>
      <c r="N28" s="26" t="str">
        <f t="shared" si="1"/>
        <v>3rd</v>
      </c>
      <c r="P28" s="26">
        <f>SUMIFS(ENG_Long!$M$2:$M$145,ENG_Long!$B$2:$B$145,$B28)</f>
        <v>0</v>
      </c>
      <c r="Q28" s="26">
        <f>SUMIFS(ENG_Long!$N$2:$N$145,ENG_Long!$B$2:$B$145,$B28)</f>
        <v>0</v>
      </c>
      <c r="R28" s="26">
        <f>SUMIFS(ENG_Long!$O$2:$O$145,ENG_Long!$B$2:$B$145,$B28)</f>
        <v>0</v>
      </c>
      <c r="S28" s="26">
        <f>SUMIFS(ENG_Long!$P$2:$P$145,ENG_Long!$B$2:$B$145,$B28)</f>
        <v>0</v>
      </c>
      <c r="T28" s="26">
        <f>SUMIFS(ENG_Long!$K$2:$K$145,ENG_Long!$B$2:$B$145,$B28)</f>
        <v>0</v>
      </c>
      <c r="U28" s="26">
        <f>SUMIFS(ENG_Long!$L$2:$L$145,ENG_Long!$B$2:$B$145,$B28)</f>
        <v>0</v>
      </c>
      <c r="V28" s="26">
        <f t="shared" si="2"/>
        <v>0</v>
      </c>
      <c r="W28" s="26">
        <f>SUMIFS(ENG_Long!$Q$2:$Q$145,ENG_Long!$B$2:$B$145,$B28)</f>
        <v>0</v>
      </c>
      <c r="X28" s="27">
        <v>0</v>
      </c>
      <c r="Y28" s="26">
        <f>W28*1000000+(V28+100)*1000+T28*10+X28*0.1+0.003</f>
        <v>100000.003</v>
      </c>
      <c r="Z28" s="26">
        <f>RANK(Y28,$Y$27:$Y$30,0)</f>
        <v>2</v>
      </c>
      <c r="AA28" s="26" t="str">
        <f t="shared" si="3"/>
        <v>2nd</v>
      </c>
    </row>
    <row r="29" spans="1:27" x14ac:dyDescent="0.2">
      <c r="A29" s="26" t="s">
        <v>40</v>
      </c>
      <c r="B29" s="44" t="s">
        <v>43</v>
      </c>
      <c r="C29" s="26">
        <f>SUMIFS(ENG_Long!$F$2:$F$145,ENG_Long!$B$2:$B$145,$B29)</f>
        <v>3</v>
      </c>
      <c r="D29" s="26">
        <f>SUMIFS(ENG_Long!$G$2:$G$145,ENG_Long!$B$2:$B$145,$B29)</f>
        <v>2</v>
      </c>
      <c r="E29" s="26">
        <f>SUMIFS(ENG_Long!$H$2:$H$145,ENG_Long!$B$2:$B$145,$B29)</f>
        <v>1</v>
      </c>
      <c r="F29" s="26">
        <f>SUMIFS(ENG_Long!$I$2:$I$145,ENG_Long!$B$2:$B$145,$B29)</f>
        <v>0</v>
      </c>
      <c r="G29" s="26">
        <f>SUMIFS(ENG_Long!$D$2:$D$145,ENG_Long!$B$2:$B$145,$B29)</f>
        <v>5</v>
      </c>
      <c r="H29" s="26">
        <f>SUMIFS(ENG_Long!$E$2:$E$145,ENG_Long!$B$2:$B$145,$B29)</f>
        <v>1</v>
      </c>
      <c r="I29" s="26">
        <f t="shared" si="0"/>
        <v>4</v>
      </c>
      <c r="J29" s="26">
        <f>SUMIFS(ENG_Long!$J$2:$J$145,ENG_Long!$B$2:$B$145,$B29)</f>
        <v>7</v>
      </c>
      <c r="K29" s="27">
        <v>0</v>
      </c>
      <c r="L29" s="26">
        <f>J29*1000000+(I29+100)*1000+G29*10+K29*0.1+0.002</f>
        <v>7104050.0020000003</v>
      </c>
      <c r="M29" s="26">
        <f>RANK(L29,$L$27:$L$30,0)</f>
        <v>1</v>
      </c>
      <c r="N29" s="26" t="str">
        <f t="shared" si="1"/>
        <v>1st</v>
      </c>
      <c r="P29" s="26">
        <f>SUMIFS(ENG_Long!$M$2:$M$145,ENG_Long!$B$2:$B$145,$B29)</f>
        <v>0</v>
      </c>
      <c r="Q29" s="26">
        <f>SUMIFS(ENG_Long!$N$2:$N$145,ENG_Long!$B$2:$B$145,$B29)</f>
        <v>0</v>
      </c>
      <c r="R29" s="26">
        <f>SUMIFS(ENG_Long!$O$2:$O$145,ENG_Long!$B$2:$B$145,$B29)</f>
        <v>0</v>
      </c>
      <c r="S29" s="26">
        <f>SUMIFS(ENG_Long!$P$2:$P$145,ENG_Long!$B$2:$B$145,$B29)</f>
        <v>0</v>
      </c>
      <c r="T29" s="26">
        <f>SUMIFS(ENG_Long!$K$2:$K$145,ENG_Long!$B$2:$B$145,$B29)</f>
        <v>0</v>
      </c>
      <c r="U29" s="26">
        <f>SUMIFS(ENG_Long!$L$2:$L$145,ENG_Long!$B$2:$B$145,$B29)</f>
        <v>0</v>
      </c>
      <c r="V29" s="26">
        <f t="shared" si="2"/>
        <v>0</v>
      </c>
      <c r="W29" s="26">
        <f>SUMIFS(ENG_Long!$Q$2:$Q$145,ENG_Long!$B$2:$B$145,$B29)</f>
        <v>0</v>
      </c>
      <c r="X29" s="27">
        <v>0</v>
      </c>
      <c r="Y29" s="26">
        <f>W29*1000000+(V29+100)*1000+T29*10+X29*0.1+0.002</f>
        <v>100000.00199999999</v>
      </c>
      <c r="Z29" s="26">
        <f>RANK(Y29,$Y$27:$Y$30,0)</f>
        <v>3</v>
      </c>
      <c r="AA29" s="26" t="str">
        <f t="shared" si="3"/>
        <v>3rd</v>
      </c>
    </row>
    <row r="30" spans="1:27" x14ac:dyDescent="0.2">
      <c r="A30" s="26" t="s">
        <v>40</v>
      </c>
      <c r="B30" s="44" t="s">
        <v>44</v>
      </c>
      <c r="C30" s="26">
        <f>SUMIFS(ENG_Long!$F$2:$F$145,ENG_Long!$B$2:$B$145,$B30)</f>
        <v>3</v>
      </c>
      <c r="D30" s="26">
        <f>SUMIFS(ENG_Long!$G$2:$G$145,ENG_Long!$B$2:$B$145,$B30)</f>
        <v>0</v>
      </c>
      <c r="E30" s="26">
        <f>SUMIFS(ENG_Long!$H$2:$H$145,ENG_Long!$B$2:$B$145,$B30)</f>
        <v>1</v>
      </c>
      <c r="F30" s="26">
        <f>SUMIFS(ENG_Long!$I$2:$I$145,ENG_Long!$B$2:$B$145,$B30)</f>
        <v>2</v>
      </c>
      <c r="G30" s="26">
        <f>SUMIFS(ENG_Long!$D$2:$D$145,ENG_Long!$B$2:$B$145,$B30)</f>
        <v>0</v>
      </c>
      <c r="H30" s="26">
        <f>SUMIFS(ENG_Long!$E$2:$E$145,ENG_Long!$B$2:$B$145,$B30)</f>
        <v>4</v>
      </c>
      <c r="I30" s="26">
        <f t="shared" si="0"/>
        <v>-4</v>
      </c>
      <c r="J30" s="26">
        <f>SUMIFS(ENG_Long!$J$2:$J$145,ENG_Long!$B$2:$B$145,$B30)</f>
        <v>1</v>
      </c>
      <c r="K30" s="27">
        <v>0</v>
      </c>
      <c r="L30" s="26">
        <f>J30*1000000+(I30+100)*1000+G30*10+K30*0.1+0.001</f>
        <v>1096000.0009999999</v>
      </c>
      <c r="M30" s="26">
        <f>RANK(L30,$L$27:$L$30,0)</f>
        <v>4</v>
      </c>
      <c r="N30" s="26" t="str">
        <f t="shared" si="1"/>
        <v>4th</v>
      </c>
      <c r="P30" s="26">
        <f>SUMIFS(ENG_Long!$M$2:$M$145,ENG_Long!$B$2:$B$145,$B30)</f>
        <v>0</v>
      </c>
      <c r="Q30" s="26">
        <f>SUMIFS(ENG_Long!$N$2:$N$145,ENG_Long!$B$2:$B$145,$B30)</f>
        <v>0</v>
      </c>
      <c r="R30" s="26">
        <f>SUMIFS(ENG_Long!$O$2:$O$145,ENG_Long!$B$2:$B$145,$B30)</f>
        <v>0</v>
      </c>
      <c r="S30" s="26">
        <f>SUMIFS(ENG_Long!$P$2:$P$145,ENG_Long!$B$2:$B$145,$B30)</f>
        <v>0</v>
      </c>
      <c r="T30" s="26">
        <f>SUMIFS(ENG_Long!$K$2:$K$145,ENG_Long!$B$2:$B$145,$B30)</f>
        <v>0</v>
      </c>
      <c r="U30" s="26">
        <f>SUMIFS(ENG_Long!$L$2:$L$145,ENG_Long!$B$2:$B$145,$B30)</f>
        <v>0</v>
      </c>
      <c r="V30" s="26">
        <f t="shared" si="2"/>
        <v>0</v>
      </c>
      <c r="W30" s="26">
        <f>SUMIFS(ENG_Long!$Q$2:$Q$145,ENG_Long!$B$2:$B$145,$B30)</f>
        <v>0</v>
      </c>
      <c r="X30" s="27">
        <v>0</v>
      </c>
      <c r="Y30" s="26">
        <f>W30*1000000+(V30+100)*1000+T30*10+X30*0.1+0.001</f>
        <v>100000.001</v>
      </c>
      <c r="Z30" s="26">
        <f>RANK(Y30,$Y$27:$Y$30,0)</f>
        <v>4</v>
      </c>
      <c r="AA30" s="26" t="str">
        <f t="shared" si="3"/>
        <v>4th</v>
      </c>
    </row>
    <row r="31" spans="1:27" x14ac:dyDescent="0.2">
      <c r="A31" s="28" t="s">
        <v>46</v>
      </c>
      <c r="B31" s="45" t="s">
        <v>47</v>
      </c>
      <c r="C31" s="28">
        <f>SUMIFS(ENG_Long!$F$2:$F$145,ENG_Long!$B$2:$B$145,$B31)</f>
        <v>3</v>
      </c>
      <c r="D31" s="28">
        <f>SUMIFS(ENG_Long!$G$2:$G$145,ENG_Long!$B$2:$B$145,$B31)</f>
        <v>3</v>
      </c>
      <c r="E31" s="28">
        <f>SUMIFS(ENG_Long!$H$2:$H$145,ENG_Long!$B$2:$B$145,$B31)</f>
        <v>0</v>
      </c>
      <c r="F31" s="28">
        <f>SUMIFS(ENG_Long!$I$2:$I$145,ENG_Long!$B$2:$B$145,$B31)</f>
        <v>0</v>
      </c>
      <c r="G31" s="28">
        <f>SUMIFS(ENG_Long!$D$2:$D$145,ENG_Long!$B$2:$B$145,$B31)</f>
        <v>8</v>
      </c>
      <c r="H31" s="28">
        <f>SUMIFS(ENG_Long!$E$2:$E$145,ENG_Long!$B$2:$B$145,$B31)</f>
        <v>1</v>
      </c>
      <c r="I31" s="28">
        <f t="shared" si="0"/>
        <v>7</v>
      </c>
      <c r="J31" s="28">
        <f>SUMIFS(ENG_Long!$J$2:$J$145,ENG_Long!$B$2:$B$145,$B31)</f>
        <v>9</v>
      </c>
      <c r="K31" s="29">
        <v>0</v>
      </c>
      <c r="L31" s="28">
        <f>J31*1000000+(I31+100)*1000+G31*10+K31*0.1+0.004</f>
        <v>9107080.0040000007</v>
      </c>
      <c r="M31" s="28">
        <f>RANK(L31,$L$31:$L$34,0)</f>
        <v>1</v>
      </c>
      <c r="N31" s="28" t="str">
        <f t="shared" si="1"/>
        <v>1st</v>
      </c>
      <c r="P31" s="28">
        <f>SUMIFS(ENG_Long!$M$2:$M$145,ENG_Long!$B$2:$B$145,$B31)</f>
        <v>0</v>
      </c>
      <c r="Q31" s="28">
        <f>SUMIFS(ENG_Long!$N$2:$N$145,ENG_Long!$B$2:$B$145,$B31)</f>
        <v>0</v>
      </c>
      <c r="R31" s="28">
        <f>SUMIFS(ENG_Long!$O$2:$O$145,ENG_Long!$B$2:$B$145,$B31)</f>
        <v>0</v>
      </c>
      <c r="S31" s="28">
        <f>SUMIFS(ENG_Long!$P$2:$P$145,ENG_Long!$B$2:$B$145,$B31)</f>
        <v>0</v>
      </c>
      <c r="T31" s="28">
        <f>SUMIFS(ENG_Long!$K$2:$K$145,ENG_Long!$B$2:$B$145,$B31)</f>
        <v>0</v>
      </c>
      <c r="U31" s="28">
        <f>SUMIFS(ENG_Long!$L$2:$L$145,ENG_Long!$B$2:$B$145,$B31)</f>
        <v>0</v>
      </c>
      <c r="V31" s="28">
        <f t="shared" si="2"/>
        <v>0</v>
      </c>
      <c r="W31" s="28">
        <f>SUMIFS(ENG_Long!$Q$2:$Q$145,ENG_Long!$B$2:$B$145,$B31)</f>
        <v>0</v>
      </c>
      <c r="X31" s="29">
        <v>0</v>
      </c>
      <c r="Y31" s="28">
        <f>W31*1000000+(V31+100)*1000+T31*10+X31*0.1+0.004</f>
        <v>100000.004</v>
      </c>
      <c r="Z31" s="28">
        <f>RANK(Y31,$Y$31:$Y$34,0)</f>
        <v>1</v>
      </c>
      <c r="AA31" s="28" t="str">
        <f t="shared" si="3"/>
        <v>1st</v>
      </c>
    </row>
    <row r="32" spans="1:27" x14ac:dyDescent="0.2">
      <c r="A32" s="28" t="s">
        <v>46</v>
      </c>
      <c r="B32" s="45" t="s">
        <v>48</v>
      </c>
      <c r="C32" s="28">
        <f>SUMIFS(ENG_Long!$F$2:$F$145,ENG_Long!$B$2:$B$145,$B32)</f>
        <v>3</v>
      </c>
      <c r="D32" s="28">
        <f>SUMIFS(ENG_Long!$G$2:$G$145,ENG_Long!$B$2:$B$145,$B32)</f>
        <v>2</v>
      </c>
      <c r="E32" s="28">
        <f>SUMIFS(ENG_Long!$H$2:$H$145,ENG_Long!$B$2:$B$145,$B32)</f>
        <v>0</v>
      </c>
      <c r="F32" s="28">
        <f>SUMIFS(ENG_Long!$I$2:$I$145,ENG_Long!$B$2:$B$145,$B32)</f>
        <v>1</v>
      </c>
      <c r="G32" s="28">
        <f>SUMIFS(ENG_Long!$D$2:$D$145,ENG_Long!$B$2:$B$145,$B32)</f>
        <v>6</v>
      </c>
      <c r="H32" s="28">
        <f>SUMIFS(ENG_Long!$E$2:$E$145,ENG_Long!$B$2:$B$145,$B32)</f>
        <v>2</v>
      </c>
      <c r="I32" s="28">
        <f t="shared" si="0"/>
        <v>4</v>
      </c>
      <c r="J32" s="28">
        <f>SUMIFS(ENG_Long!$J$2:$J$145,ENG_Long!$B$2:$B$145,$B32)</f>
        <v>6</v>
      </c>
      <c r="K32" s="29">
        <v>0</v>
      </c>
      <c r="L32" s="28">
        <f>J32*1000000+(I32+100)*1000+G32*10+K32*0.1+0.003</f>
        <v>6104060.0029999996</v>
      </c>
      <c r="M32" s="28">
        <f>RANK(L32,$L$31:$L$34,0)</f>
        <v>2</v>
      </c>
      <c r="N32" s="28" t="str">
        <f t="shared" si="1"/>
        <v>2nd</v>
      </c>
      <c r="P32" s="28">
        <f>SUMIFS(ENG_Long!$M$2:$M$145,ENG_Long!$B$2:$B$145,$B32)</f>
        <v>0</v>
      </c>
      <c r="Q32" s="28">
        <f>SUMIFS(ENG_Long!$N$2:$N$145,ENG_Long!$B$2:$B$145,$B32)</f>
        <v>0</v>
      </c>
      <c r="R32" s="28">
        <f>SUMIFS(ENG_Long!$O$2:$O$145,ENG_Long!$B$2:$B$145,$B32)</f>
        <v>0</v>
      </c>
      <c r="S32" s="28">
        <f>SUMIFS(ENG_Long!$P$2:$P$145,ENG_Long!$B$2:$B$145,$B32)</f>
        <v>0</v>
      </c>
      <c r="T32" s="28">
        <f>SUMIFS(ENG_Long!$K$2:$K$145,ENG_Long!$B$2:$B$145,$B32)</f>
        <v>0</v>
      </c>
      <c r="U32" s="28">
        <f>SUMIFS(ENG_Long!$L$2:$L$145,ENG_Long!$B$2:$B$145,$B32)</f>
        <v>0</v>
      </c>
      <c r="V32" s="28">
        <f t="shared" si="2"/>
        <v>0</v>
      </c>
      <c r="W32" s="28">
        <f>SUMIFS(ENG_Long!$Q$2:$Q$145,ENG_Long!$B$2:$B$145,$B32)</f>
        <v>0</v>
      </c>
      <c r="X32" s="29">
        <v>0</v>
      </c>
      <c r="Y32" s="28">
        <f>W32*1000000+(V32+100)*1000+T32*10+X32*0.1+0.003</f>
        <v>100000.003</v>
      </c>
      <c r="Z32" s="28">
        <f>RANK(Y32,$Y$31:$Y$34,0)</f>
        <v>2</v>
      </c>
      <c r="AA32" s="28" t="str">
        <f t="shared" si="3"/>
        <v>2nd</v>
      </c>
    </row>
    <row r="33" spans="1:27" x14ac:dyDescent="0.2">
      <c r="A33" s="28" t="s">
        <v>46</v>
      </c>
      <c r="B33" s="45" t="s">
        <v>49</v>
      </c>
      <c r="C33" s="28">
        <f>SUMIFS(ENG_Long!$F$2:$F$145,ENG_Long!$B$2:$B$145,$B33)</f>
        <v>3</v>
      </c>
      <c r="D33" s="28">
        <f>SUMIFS(ENG_Long!$G$2:$G$145,ENG_Long!$B$2:$B$145,$B33)</f>
        <v>1</v>
      </c>
      <c r="E33" s="28">
        <f>SUMIFS(ENG_Long!$H$2:$H$145,ENG_Long!$B$2:$B$145,$B33)</f>
        <v>0</v>
      </c>
      <c r="F33" s="28">
        <f>SUMIFS(ENG_Long!$I$2:$I$145,ENG_Long!$B$2:$B$145,$B33)</f>
        <v>2</v>
      </c>
      <c r="G33" s="28">
        <f>SUMIFS(ENG_Long!$D$2:$D$145,ENG_Long!$B$2:$B$145,$B33)</f>
        <v>3</v>
      </c>
      <c r="H33" s="28">
        <f>SUMIFS(ENG_Long!$E$2:$E$145,ENG_Long!$B$2:$B$145,$B33)</f>
        <v>5</v>
      </c>
      <c r="I33" s="28">
        <f t="shared" si="0"/>
        <v>-2</v>
      </c>
      <c r="J33" s="28">
        <f>SUMIFS(ENG_Long!$J$2:$J$145,ENG_Long!$B$2:$B$145,$B33)</f>
        <v>3</v>
      </c>
      <c r="K33" s="29">
        <v>0</v>
      </c>
      <c r="L33" s="28">
        <f>J33*1000000+(I33+100)*1000+G33*10+K33*0.1+0.002</f>
        <v>3098030.0019999999</v>
      </c>
      <c r="M33" s="28">
        <f>RANK(L33,$L$31:$L$34,0)</f>
        <v>3</v>
      </c>
      <c r="N33" s="28" t="str">
        <f t="shared" si="1"/>
        <v>3rd</v>
      </c>
      <c r="P33" s="28">
        <f>SUMIFS(ENG_Long!$M$2:$M$145,ENG_Long!$B$2:$B$145,$B33)</f>
        <v>0</v>
      </c>
      <c r="Q33" s="28">
        <f>SUMIFS(ENG_Long!$N$2:$N$145,ENG_Long!$B$2:$B$145,$B33)</f>
        <v>0</v>
      </c>
      <c r="R33" s="28">
        <f>SUMIFS(ENG_Long!$O$2:$O$145,ENG_Long!$B$2:$B$145,$B33)</f>
        <v>0</v>
      </c>
      <c r="S33" s="28">
        <f>SUMIFS(ENG_Long!$P$2:$P$145,ENG_Long!$B$2:$B$145,$B33)</f>
        <v>0</v>
      </c>
      <c r="T33" s="28">
        <f>SUMIFS(ENG_Long!$K$2:$K$145,ENG_Long!$B$2:$B$145,$B33)</f>
        <v>0</v>
      </c>
      <c r="U33" s="28">
        <f>SUMIFS(ENG_Long!$L$2:$L$145,ENG_Long!$B$2:$B$145,$B33)</f>
        <v>0</v>
      </c>
      <c r="V33" s="28">
        <f t="shared" si="2"/>
        <v>0</v>
      </c>
      <c r="W33" s="28">
        <f>SUMIFS(ENG_Long!$Q$2:$Q$145,ENG_Long!$B$2:$B$145,$B33)</f>
        <v>0</v>
      </c>
      <c r="X33" s="29">
        <v>0</v>
      </c>
      <c r="Y33" s="28">
        <f>W33*1000000+(V33+100)*1000+T33*10+X33*0.1+0.002</f>
        <v>100000.00199999999</v>
      </c>
      <c r="Z33" s="28">
        <f>RANK(Y33,$Y$31:$Y$34,0)</f>
        <v>3</v>
      </c>
      <c r="AA33" s="28" t="str">
        <f t="shared" si="3"/>
        <v>3rd</v>
      </c>
    </row>
    <row r="34" spans="1:27" x14ac:dyDescent="0.2">
      <c r="A34" s="28" t="s">
        <v>46</v>
      </c>
      <c r="B34" s="45" t="s">
        <v>50</v>
      </c>
      <c r="C34" s="28">
        <f>SUMIFS(ENG_Long!$F$2:$F$145,ENG_Long!$B$2:$B$145,$B34)</f>
        <v>3</v>
      </c>
      <c r="D34" s="28">
        <f>SUMIFS(ENG_Long!$G$2:$G$145,ENG_Long!$B$2:$B$145,$B34)</f>
        <v>0</v>
      </c>
      <c r="E34" s="28">
        <f>SUMIFS(ENG_Long!$H$2:$H$145,ENG_Long!$B$2:$B$145,$B34)</f>
        <v>0</v>
      </c>
      <c r="F34" s="28">
        <f>SUMIFS(ENG_Long!$I$2:$I$145,ENG_Long!$B$2:$B$145,$B34)</f>
        <v>3</v>
      </c>
      <c r="G34" s="28">
        <f>SUMIFS(ENG_Long!$D$2:$D$145,ENG_Long!$B$2:$B$145,$B34)</f>
        <v>0</v>
      </c>
      <c r="H34" s="28">
        <f>SUMIFS(ENG_Long!$E$2:$E$145,ENG_Long!$B$2:$B$145,$B34)</f>
        <v>9</v>
      </c>
      <c r="I34" s="28">
        <f t="shared" si="0"/>
        <v>-9</v>
      </c>
      <c r="J34" s="28">
        <f>SUMIFS(ENG_Long!$J$2:$J$145,ENG_Long!$B$2:$B$145,$B34)</f>
        <v>0</v>
      </c>
      <c r="K34" s="29">
        <v>0</v>
      </c>
      <c r="L34" s="28">
        <f>J34*1000000+(I34+100)*1000+G34*10+K34*0.1+0.001</f>
        <v>91000.001000000004</v>
      </c>
      <c r="M34" s="28">
        <f>RANK(L34,$L$31:$L$34,0)</f>
        <v>4</v>
      </c>
      <c r="N34" s="28" t="str">
        <f t="shared" si="1"/>
        <v>4th</v>
      </c>
      <c r="P34" s="28">
        <f>SUMIFS(ENG_Long!$M$2:$M$145,ENG_Long!$B$2:$B$145,$B34)</f>
        <v>0</v>
      </c>
      <c r="Q34" s="28">
        <f>SUMIFS(ENG_Long!$N$2:$N$145,ENG_Long!$B$2:$B$145,$B34)</f>
        <v>0</v>
      </c>
      <c r="R34" s="28">
        <f>SUMIFS(ENG_Long!$O$2:$O$145,ENG_Long!$B$2:$B$145,$B34)</f>
        <v>0</v>
      </c>
      <c r="S34" s="28">
        <f>SUMIFS(ENG_Long!$P$2:$P$145,ENG_Long!$B$2:$B$145,$B34)</f>
        <v>0</v>
      </c>
      <c r="T34" s="28">
        <f>SUMIFS(ENG_Long!$K$2:$K$145,ENG_Long!$B$2:$B$145,$B34)</f>
        <v>0</v>
      </c>
      <c r="U34" s="28">
        <f>SUMIFS(ENG_Long!$L$2:$L$145,ENG_Long!$B$2:$B$145,$B34)</f>
        <v>0</v>
      </c>
      <c r="V34" s="28">
        <f t="shared" si="2"/>
        <v>0</v>
      </c>
      <c r="W34" s="28">
        <f>SUMIFS(ENG_Long!$Q$2:$Q$145,ENG_Long!$B$2:$B$145,$B34)</f>
        <v>0</v>
      </c>
      <c r="X34" s="29">
        <v>0</v>
      </c>
      <c r="Y34" s="28">
        <f>W34*1000000+(V34+100)*1000+T34*10+X34*0.1+0.001</f>
        <v>100000.001</v>
      </c>
      <c r="Z34" s="28">
        <f>RANK(Y34,$Y$31:$Y$34,0)</f>
        <v>4</v>
      </c>
      <c r="AA34" s="28" t="str">
        <f t="shared" si="3"/>
        <v>4th</v>
      </c>
    </row>
    <row r="35" spans="1:27" x14ac:dyDescent="0.2">
      <c r="A35" s="30" t="s">
        <v>51</v>
      </c>
      <c r="B35" s="46" t="s">
        <v>52</v>
      </c>
      <c r="C35" s="30">
        <f>SUMIFS(ENG_Long!$F$2:$F$145,ENG_Long!$B$2:$B$145,$B35)</f>
        <v>3</v>
      </c>
      <c r="D35" s="30">
        <f>SUMIFS(ENG_Long!$G$2:$G$145,ENG_Long!$B$2:$B$145,$B35)</f>
        <v>3</v>
      </c>
      <c r="E35" s="30">
        <f>SUMIFS(ENG_Long!$H$2:$H$145,ENG_Long!$B$2:$B$145,$B35)</f>
        <v>0</v>
      </c>
      <c r="F35" s="30">
        <f>SUMIFS(ENG_Long!$I$2:$I$145,ENG_Long!$B$2:$B$145,$B35)</f>
        <v>0</v>
      </c>
      <c r="G35" s="30">
        <f>SUMIFS(ENG_Long!$D$2:$D$145,ENG_Long!$B$2:$B$145,$B35)</f>
        <v>8</v>
      </c>
      <c r="H35" s="30">
        <f>SUMIFS(ENG_Long!$E$2:$E$145,ENG_Long!$B$2:$B$145,$B35)</f>
        <v>1</v>
      </c>
      <c r="I35" s="30">
        <f t="shared" si="0"/>
        <v>7</v>
      </c>
      <c r="J35" s="30">
        <f>SUMIFS(ENG_Long!$J$2:$J$145,ENG_Long!$B$2:$B$145,$B35)</f>
        <v>9</v>
      </c>
      <c r="K35" s="31">
        <v>0</v>
      </c>
      <c r="L35" s="30">
        <f>J35*1000000+(I35+100)*1000+G35*10+K35*0.1+0.004</f>
        <v>9107080.0040000007</v>
      </c>
      <c r="M35" s="30">
        <f>RANK(L35,$L$35:$L$38,0)</f>
        <v>1</v>
      </c>
      <c r="N35" s="30" t="str">
        <f t="shared" si="1"/>
        <v>1st</v>
      </c>
      <c r="P35" s="30">
        <f>SUMIFS(ENG_Long!$M$2:$M$145,ENG_Long!$B$2:$B$145,$B35)</f>
        <v>0</v>
      </c>
      <c r="Q35" s="30">
        <f>SUMIFS(ENG_Long!$N$2:$N$145,ENG_Long!$B$2:$B$145,$B35)</f>
        <v>0</v>
      </c>
      <c r="R35" s="30">
        <f>SUMIFS(ENG_Long!$O$2:$O$145,ENG_Long!$B$2:$B$145,$B35)</f>
        <v>0</v>
      </c>
      <c r="S35" s="30">
        <f>SUMIFS(ENG_Long!$P$2:$P$145,ENG_Long!$B$2:$B$145,$B35)</f>
        <v>0</v>
      </c>
      <c r="T35" s="30">
        <f>SUMIFS(ENG_Long!$K$2:$K$145,ENG_Long!$B$2:$B$145,$B35)</f>
        <v>0</v>
      </c>
      <c r="U35" s="30">
        <f>SUMIFS(ENG_Long!$L$2:$L$145,ENG_Long!$B$2:$B$145,$B35)</f>
        <v>0</v>
      </c>
      <c r="V35" s="30">
        <f t="shared" si="2"/>
        <v>0</v>
      </c>
      <c r="W35" s="30">
        <f>SUMIFS(ENG_Long!$Q$2:$Q$145,ENG_Long!$B$2:$B$145,$B35)</f>
        <v>0</v>
      </c>
      <c r="X35" s="31">
        <v>0</v>
      </c>
      <c r="Y35" s="30">
        <f>W35*1000000+(V35+100)*1000+T35*10+X35*0.1+0.004</f>
        <v>100000.004</v>
      </c>
      <c r="Z35" s="30">
        <f>RANK(Y35,$Y$35:$Y$38,0)</f>
        <v>1</v>
      </c>
      <c r="AA35" s="30" t="str">
        <f t="shared" si="3"/>
        <v>1st</v>
      </c>
    </row>
    <row r="36" spans="1:27" x14ac:dyDescent="0.2">
      <c r="A36" s="30" t="s">
        <v>51</v>
      </c>
      <c r="B36" s="46" t="s">
        <v>53</v>
      </c>
      <c r="C36" s="30">
        <f>SUMIFS(ENG_Long!$F$2:$F$145,ENG_Long!$B$2:$B$145,$B36)</f>
        <v>3</v>
      </c>
      <c r="D36" s="30">
        <f>SUMIFS(ENG_Long!$G$2:$G$145,ENG_Long!$B$2:$B$145,$B36)</f>
        <v>1</v>
      </c>
      <c r="E36" s="30">
        <f>SUMIFS(ENG_Long!$H$2:$H$145,ENG_Long!$B$2:$B$145,$B36)</f>
        <v>0</v>
      </c>
      <c r="F36" s="30">
        <f>SUMIFS(ENG_Long!$I$2:$I$145,ENG_Long!$B$2:$B$145,$B36)</f>
        <v>2</v>
      </c>
      <c r="G36" s="30">
        <f>SUMIFS(ENG_Long!$D$2:$D$145,ENG_Long!$B$2:$B$145,$B36)</f>
        <v>2</v>
      </c>
      <c r="H36" s="30">
        <f>SUMIFS(ENG_Long!$E$2:$E$145,ENG_Long!$B$2:$B$145,$B36)</f>
        <v>5</v>
      </c>
      <c r="I36" s="30">
        <f t="shared" si="0"/>
        <v>-3</v>
      </c>
      <c r="J36" s="30">
        <f>SUMIFS(ENG_Long!$J$2:$J$145,ENG_Long!$B$2:$B$145,$B36)</f>
        <v>3</v>
      </c>
      <c r="K36" s="31">
        <v>0</v>
      </c>
      <c r="L36" s="30">
        <f>J36*1000000+(I36+100)*1000+G36*10+K36*0.1+0.003</f>
        <v>3097020.003</v>
      </c>
      <c r="M36" s="30">
        <f>RANK(L36,$L$35:$L$38,0)</f>
        <v>3</v>
      </c>
      <c r="N36" s="30" t="str">
        <f t="shared" si="1"/>
        <v>3rd</v>
      </c>
      <c r="P36" s="30">
        <f>SUMIFS(ENG_Long!$M$2:$M$145,ENG_Long!$B$2:$B$145,$B36)</f>
        <v>0</v>
      </c>
      <c r="Q36" s="30">
        <f>SUMIFS(ENG_Long!$N$2:$N$145,ENG_Long!$B$2:$B$145,$B36)</f>
        <v>0</v>
      </c>
      <c r="R36" s="30">
        <f>SUMIFS(ENG_Long!$O$2:$O$145,ENG_Long!$B$2:$B$145,$B36)</f>
        <v>0</v>
      </c>
      <c r="S36" s="30">
        <f>SUMIFS(ENG_Long!$P$2:$P$145,ENG_Long!$B$2:$B$145,$B36)</f>
        <v>0</v>
      </c>
      <c r="T36" s="30">
        <f>SUMIFS(ENG_Long!$K$2:$K$145,ENG_Long!$B$2:$B$145,$B36)</f>
        <v>0</v>
      </c>
      <c r="U36" s="30">
        <f>SUMIFS(ENG_Long!$L$2:$L$145,ENG_Long!$B$2:$B$145,$B36)</f>
        <v>0</v>
      </c>
      <c r="V36" s="30">
        <f t="shared" si="2"/>
        <v>0</v>
      </c>
      <c r="W36" s="30">
        <f>SUMIFS(ENG_Long!$Q$2:$Q$145,ENG_Long!$B$2:$B$145,$B36)</f>
        <v>0</v>
      </c>
      <c r="X36" s="31">
        <v>0</v>
      </c>
      <c r="Y36" s="30">
        <f>W36*1000000+(V36+100)*1000+T36*10+X36*0.1+0.003</f>
        <v>100000.003</v>
      </c>
      <c r="Z36" s="30">
        <f>RANK(Y36,$Y$35:$Y$38,0)</f>
        <v>2</v>
      </c>
      <c r="AA36" s="30" t="str">
        <f t="shared" si="3"/>
        <v>2nd</v>
      </c>
    </row>
    <row r="37" spans="1:27" x14ac:dyDescent="0.2">
      <c r="A37" s="30" t="s">
        <v>51</v>
      </c>
      <c r="B37" s="46" t="s">
        <v>54</v>
      </c>
      <c r="C37" s="30">
        <f>SUMIFS(ENG_Long!$F$2:$F$145,ENG_Long!$B$2:$B$145,$B37)</f>
        <v>3</v>
      </c>
      <c r="D37" s="30">
        <f>SUMIFS(ENG_Long!$G$2:$G$145,ENG_Long!$B$2:$B$145,$B37)</f>
        <v>2</v>
      </c>
      <c r="E37" s="30">
        <f>SUMIFS(ENG_Long!$H$2:$H$145,ENG_Long!$B$2:$B$145,$B37)</f>
        <v>0</v>
      </c>
      <c r="F37" s="30">
        <f>SUMIFS(ENG_Long!$I$2:$I$145,ENG_Long!$B$2:$B$145,$B37)</f>
        <v>1</v>
      </c>
      <c r="G37" s="30">
        <f>SUMIFS(ENG_Long!$D$2:$D$145,ENG_Long!$B$2:$B$145,$B37)</f>
        <v>5</v>
      </c>
      <c r="H37" s="30">
        <f>SUMIFS(ENG_Long!$E$2:$E$145,ENG_Long!$B$2:$B$145,$B37)</f>
        <v>3</v>
      </c>
      <c r="I37" s="30">
        <f t="shared" si="0"/>
        <v>2</v>
      </c>
      <c r="J37" s="30">
        <f>SUMIFS(ENG_Long!$J$2:$J$145,ENG_Long!$B$2:$B$145,$B37)</f>
        <v>6</v>
      </c>
      <c r="K37" s="31">
        <v>0</v>
      </c>
      <c r="L37" s="30">
        <f>J37*1000000+(I37+100)*1000+G37*10+K37*0.1+0.002</f>
        <v>6102050.0020000003</v>
      </c>
      <c r="M37" s="30">
        <f>RANK(L37,$L$35:$L$38,0)</f>
        <v>2</v>
      </c>
      <c r="N37" s="30" t="str">
        <f t="shared" si="1"/>
        <v>2nd</v>
      </c>
      <c r="P37" s="30">
        <f>SUMIFS(ENG_Long!$M$2:$M$145,ENG_Long!$B$2:$B$145,$B37)</f>
        <v>0</v>
      </c>
      <c r="Q37" s="30">
        <f>SUMIFS(ENG_Long!$N$2:$N$145,ENG_Long!$B$2:$B$145,$B37)</f>
        <v>0</v>
      </c>
      <c r="R37" s="30">
        <f>SUMIFS(ENG_Long!$O$2:$O$145,ENG_Long!$B$2:$B$145,$B37)</f>
        <v>0</v>
      </c>
      <c r="S37" s="30">
        <f>SUMIFS(ENG_Long!$P$2:$P$145,ENG_Long!$B$2:$B$145,$B37)</f>
        <v>0</v>
      </c>
      <c r="T37" s="30">
        <f>SUMIFS(ENG_Long!$K$2:$K$145,ENG_Long!$B$2:$B$145,$B37)</f>
        <v>0</v>
      </c>
      <c r="U37" s="30">
        <f>SUMIFS(ENG_Long!$L$2:$L$145,ENG_Long!$B$2:$B$145,$B37)</f>
        <v>0</v>
      </c>
      <c r="V37" s="30">
        <f t="shared" si="2"/>
        <v>0</v>
      </c>
      <c r="W37" s="30">
        <f>SUMIFS(ENG_Long!$Q$2:$Q$145,ENG_Long!$B$2:$B$145,$B37)</f>
        <v>0</v>
      </c>
      <c r="X37" s="31">
        <v>0</v>
      </c>
      <c r="Y37" s="30">
        <f>W37*1000000+(V37+100)*1000+T37*10+X37*0.1+0.002</f>
        <v>100000.00199999999</v>
      </c>
      <c r="Z37" s="30">
        <f>RANK(Y37,$Y$35:$Y$38,0)</f>
        <v>3</v>
      </c>
      <c r="AA37" s="30" t="str">
        <f t="shared" si="3"/>
        <v>3rd</v>
      </c>
    </row>
    <row r="38" spans="1:27" x14ac:dyDescent="0.2">
      <c r="A38" s="30" t="s">
        <v>51</v>
      </c>
      <c r="B38" s="46" t="s">
        <v>55</v>
      </c>
      <c r="C38" s="30">
        <f>SUMIFS(ENG_Long!$F$2:$F$145,ENG_Long!$B$2:$B$145,$B38)</f>
        <v>3</v>
      </c>
      <c r="D38" s="30">
        <f>SUMIFS(ENG_Long!$G$2:$G$145,ENG_Long!$B$2:$B$145,$B38)</f>
        <v>0</v>
      </c>
      <c r="E38" s="30">
        <f>SUMIFS(ENG_Long!$H$2:$H$145,ENG_Long!$B$2:$B$145,$B38)</f>
        <v>0</v>
      </c>
      <c r="F38" s="30">
        <f>SUMIFS(ENG_Long!$I$2:$I$145,ENG_Long!$B$2:$B$145,$B38)</f>
        <v>3</v>
      </c>
      <c r="G38" s="30">
        <f>SUMIFS(ENG_Long!$D$2:$D$145,ENG_Long!$B$2:$B$145,$B38)</f>
        <v>0</v>
      </c>
      <c r="H38" s="30">
        <f>SUMIFS(ENG_Long!$E$2:$E$145,ENG_Long!$B$2:$B$145,$B38)</f>
        <v>6</v>
      </c>
      <c r="I38" s="30">
        <f t="shared" si="0"/>
        <v>-6</v>
      </c>
      <c r="J38" s="30">
        <f>SUMIFS(ENG_Long!$J$2:$J$145,ENG_Long!$B$2:$B$145,$B38)</f>
        <v>0</v>
      </c>
      <c r="K38" s="31">
        <v>0</v>
      </c>
      <c r="L38" s="30">
        <f>J38*1000000+(I38+100)*1000+G38*10+K38*0.1+0.001</f>
        <v>94000.001000000004</v>
      </c>
      <c r="M38" s="30">
        <f>RANK(L38,$L$35:$L$38,0)</f>
        <v>4</v>
      </c>
      <c r="N38" s="30" t="str">
        <f t="shared" si="1"/>
        <v>4th</v>
      </c>
      <c r="P38" s="30">
        <f>SUMIFS(ENG_Long!$M$2:$M$145,ENG_Long!$B$2:$B$145,$B38)</f>
        <v>0</v>
      </c>
      <c r="Q38" s="30">
        <f>SUMIFS(ENG_Long!$N$2:$N$145,ENG_Long!$B$2:$B$145,$B38)</f>
        <v>0</v>
      </c>
      <c r="R38" s="30">
        <f>SUMIFS(ENG_Long!$O$2:$O$145,ENG_Long!$B$2:$B$145,$B38)</f>
        <v>0</v>
      </c>
      <c r="S38" s="30">
        <f>SUMIFS(ENG_Long!$P$2:$P$145,ENG_Long!$B$2:$B$145,$B38)</f>
        <v>0</v>
      </c>
      <c r="T38" s="30">
        <f>SUMIFS(ENG_Long!$K$2:$K$145,ENG_Long!$B$2:$B$145,$B38)</f>
        <v>0</v>
      </c>
      <c r="U38" s="30">
        <f>SUMIFS(ENG_Long!$L$2:$L$145,ENG_Long!$B$2:$B$145,$B38)</f>
        <v>0</v>
      </c>
      <c r="V38" s="30">
        <f t="shared" si="2"/>
        <v>0</v>
      </c>
      <c r="W38" s="30">
        <f>SUMIFS(ENG_Long!$Q$2:$Q$145,ENG_Long!$B$2:$B$145,$B38)</f>
        <v>0</v>
      </c>
      <c r="X38" s="31">
        <v>0</v>
      </c>
      <c r="Y38" s="30">
        <f>W38*1000000+(V38+100)*1000+T38*10+X38*0.1+0.001</f>
        <v>100000.001</v>
      </c>
      <c r="Z38" s="30">
        <f>RANK(Y38,$Y$35:$Y$38,0)</f>
        <v>4</v>
      </c>
      <c r="AA38" s="30" t="str">
        <f t="shared" si="3"/>
        <v>4th</v>
      </c>
    </row>
    <row r="39" spans="1:27" x14ac:dyDescent="0.2">
      <c r="A39" s="32" t="s">
        <v>56</v>
      </c>
      <c r="B39" s="47" t="s">
        <v>57</v>
      </c>
      <c r="C39" s="32">
        <f>SUMIFS(ENG_Long!$F$2:$F$145,ENG_Long!$B$2:$B$145,$B39)</f>
        <v>3</v>
      </c>
      <c r="D39" s="32">
        <f>SUMIFS(ENG_Long!$G$2:$G$145,ENG_Long!$B$2:$B$145,$B39)</f>
        <v>3</v>
      </c>
      <c r="E39" s="32">
        <f>SUMIFS(ENG_Long!$H$2:$H$145,ENG_Long!$B$2:$B$145,$B39)</f>
        <v>0</v>
      </c>
      <c r="F39" s="32">
        <f>SUMIFS(ENG_Long!$I$2:$I$145,ENG_Long!$B$2:$B$145,$B39)</f>
        <v>0</v>
      </c>
      <c r="G39" s="32">
        <f>SUMIFS(ENG_Long!$D$2:$D$145,ENG_Long!$B$2:$B$145,$B39)</f>
        <v>7</v>
      </c>
      <c r="H39" s="32">
        <f>SUMIFS(ENG_Long!$E$2:$E$145,ENG_Long!$B$2:$B$145,$B39)</f>
        <v>1</v>
      </c>
      <c r="I39" s="32">
        <f t="shared" si="0"/>
        <v>6</v>
      </c>
      <c r="J39" s="32">
        <f>SUMIFS(ENG_Long!$J$2:$J$145,ENG_Long!$B$2:$B$145,$B39)</f>
        <v>9</v>
      </c>
      <c r="K39" s="33">
        <v>0</v>
      </c>
      <c r="L39" s="32">
        <f>J39*1000000+(I39+100)*1000+G39*10+K39*0.1+0.004</f>
        <v>9106070.0040000007</v>
      </c>
      <c r="M39" s="32">
        <f>RANK(L39,$L$39:$L$42,0)</f>
        <v>1</v>
      </c>
      <c r="N39" s="32" t="str">
        <f t="shared" si="1"/>
        <v>1st</v>
      </c>
      <c r="P39" s="32">
        <f>SUMIFS(ENG_Long!$M$2:$M$145,ENG_Long!$B$2:$B$145,$B39)</f>
        <v>0</v>
      </c>
      <c r="Q39" s="32">
        <f>SUMIFS(ENG_Long!$N$2:$N$145,ENG_Long!$B$2:$B$145,$B39)</f>
        <v>0</v>
      </c>
      <c r="R39" s="32">
        <f>SUMIFS(ENG_Long!$O$2:$O$145,ENG_Long!$B$2:$B$145,$B39)</f>
        <v>0</v>
      </c>
      <c r="S39" s="32">
        <f>SUMIFS(ENG_Long!$P$2:$P$145,ENG_Long!$B$2:$B$145,$B39)</f>
        <v>0</v>
      </c>
      <c r="T39" s="32">
        <f>SUMIFS(ENG_Long!$K$2:$K$145,ENG_Long!$B$2:$B$145,$B39)</f>
        <v>0</v>
      </c>
      <c r="U39" s="32">
        <f>SUMIFS(ENG_Long!$L$2:$L$145,ENG_Long!$B$2:$B$145,$B39)</f>
        <v>0</v>
      </c>
      <c r="V39" s="32">
        <f t="shared" si="2"/>
        <v>0</v>
      </c>
      <c r="W39" s="32">
        <f>SUMIFS(ENG_Long!$Q$2:$Q$145,ENG_Long!$B$2:$B$145,$B39)</f>
        <v>0</v>
      </c>
      <c r="X39" s="33">
        <v>0</v>
      </c>
      <c r="Y39" s="32">
        <f>W39*1000000+(V39+100)*1000+T39*10+X39*0.1+0.004</f>
        <v>100000.004</v>
      </c>
      <c r="Z39" s="32">
        <f>RANK(Y39,$Y$39:$Y$42,0)</f>
        <v>1</v>
      </c>
      <c r="AA39" s="32" t="str">
        <f t="shared" si="3"/>
        <v>1st</v>
      </c>
    </row>
    <row r="40" spans="1:27" x14ac:dyDescent="0.2">
      <c r="A40" s="32" t="s">
        <v>56</v>
      </c>
      <c r="B40" s="47" t="s">
        <v>58</v>
      </c>
      <c r="C40" s="32">
        <f>SUMIFS(ENG_Long!$F$2:$F$145,ENG_Long!$B$2:$B$145,$B40)</f>
        <v>3</v>
      </c>
      <c r="D40" s="32">
        <f>SUMIFS(ENG_Long!$G$2:$G$145,ENG_Long!$B$2:$B$145,$B40)</f>
        <v>2</v>
      </c>
      <c r="E40" s="32">
        <f>SUMIFS(ENG_Long!$H$2:$H$145,ENG_Long!$B$2:$B$145,$B40)</f>
        <v>0</v>
      </c>
      <c r="F40" s="32">
        <f>SUMIFS(ENG_Long!$I$2:$I$145,ENG_Long!$B$2:$B$145,$B40)</f>
        <v>1</v>
      </c>
      <c r="G40" s="32">
        <f>SUMIFS(ENG_Long!$D$2:$D$145,ENG_Long!$B$2:$B$145,$B40)</f>
        <v>4</v>
      </c>
      <c r="H40" s="32">
        <f>SUMIFS(ENG_Long!$E$2:$E$145,ENG_Long!$B$2:$B$145,$B40)</f>
        <v>3</v>
      </c>
      <c r="I40" s="32">
        <f t="shared" si="0"/>
        <v>1</v>
      </c>
      <c r="J40" s="32">
        <f>SUMIFS(ENG_Long!$J$2:$J$145,ENG_Long!$B$2:$B$145,$B40)</f>
        <v>6</v>
      </c>
      <c r="K40" s="33">
        <v>0</v>
      </c>
      <c r="L40" s="32">
        <f>J40*1000000+(I40+100)*1000+G40*10+K40*0.1+0.003</f>
        <v>6101040.0029999996</v>
      </c>
      <c r="M40" s="32">
        <f>RANK(L40,$L$39:$L$42,0)</f>
        <v>2</v>
      </c>
      <c r="N40" s="32" t="str">
        <f t="shared" si="1"/>
        <v>2nd</v>
      </c>
      <c r="P40" s="32">
        <f>SUMIFS(ENG_Long!$M$2:$M$145,ENG_Long!$B$2:$B$145,$B40)</f>
        <v>0</v>
      </c>
      <c r="Q40" s="32">
        <f>SUMIFS(ENG_Long!$N$2:$N$145,ENG_Long!$B$2:$B$145,$B40)</f>
        <v>0</v>
      </c>
      <c r="R40" s="32">
        <f>SUMIFS(ENG_Long!$O$2:$O$145,ENG_Long!$B$2:$B$145,$B40)</f>
        <v>0</v>
      </c>
      <c r="S40" s="32">
        <f>SUMIFS(ENG_Long!$P$2:$P$145,ENG_Long!$B$2:$B$145,$B40)</f>
        <v>0</v>
      </c>
      <c r="T40" s="32">
        <f>SUMIFS(ENG_Long!$K$2:$K$145,ENG_Long!$B$2:$B$145,$B40)</f>
        <v>0</v>
      </c>
      <c r="U40" s="32">
        <f>SUMIFS(ENG_Long!$L$2:$L$145,ENG_Long!$B$2:$B$145,$B40)</f>
        <v>0</v>
      </c>
      <c r="V40" s="32">
        <f t="shared" si="2"/>
        <v>0</v>
      </c>
      <c r="W40" s="32">
        <f>SUMIFS(ENG_Long!$Q$2:$Q$145,ENG_Long!$B$2:$B$145,$B40)</f>
        <v>0</v>
      </c>
      <c r="X40" s="33">
        <v>0</v>
      </c>
      <c r="Y40" s="32">
        <f>W40*1000000+(V40+100)*1000+T40*10+X40*0.1+0.003</f>
        <v>100000.003</v>
      </c>
      <c r="Z40" s="32">
        <f>RANK(Y40,$Y$39:$Y$42,0)</f>
        <v>2</v>
      </c>
      <c r="AA40" s="32" t="str">
        <f t="shared" si="3"/>
        <v>2nd</v>
      </c>
    </row>
    <row r="41" spans="1:27" x14ac:dyDescent="0.2">
      <c r="A41" s="32" t="s">
        <v>56</v>
      </c>
      <c r="B41" s="47" t="s">
        <v>59</v>
      </c>
      <c r="C41" s="32">
        <f>SUMIFS(ENG_Long!$F$2:$F$145,ENG_Long!$B$2:$B$145,$B41)</f>
        <v>3</v>
      </c>
      <c r="D41" s="32">
        <f>SUMIFS(ENG_Long!$G$2:$G$145,ENG_Long!$B$2:$B$145,$B41)</f>
        <v>0</v>
      </c>
      <c r="E41" s="32">
        <f>SUMIFS(ENG_Long!$H$2:$H$145,ENG_Long!$B$2:$B$145,$B41)</f>
        <v>1</v>
      </c>
      <c r="F41" s="32">
        <f>SUMIFS(ENG_Long!$I$2:$I$145,ENG_Long!$B$2:$B$145,$B41)</f>
        <v>2</v>
      </c>
      <c r="G41" s="32">
        <f>SUMIFS(ENG_Long!$D$2:$D$145,ENG_Long!$B$2:$B$145,$B41)</f>
        <v>3</v>
      </c>
      <c r="H41" s="32">
        <f>SUMIFS(ENG_Long!$E$2:$E$145,ENG_Long!$B$2:$B$145,$B41)</f>
        <v>6</v>
      </c>
      <c r="I41" s="32">
        <f t="shared" si="0"/>
        <v>-3</v>
      </c>
      <c r="J41" s="32">
        <f>SUMIFS(ENG_Long!$J$2:$J$145,ENG_Long!$B$2:$B$145,$B41)</f>
        <v>1</v>
      </c>
      <c r="K41" s="33">
        <v>0</v>
      </c>
      <c r="L41" s="32">
        <f>J41*1000000+(I41+100)*1000+G41*10+K41*0.1+0.002</f>
        <v>1097030.0020000001</v>
      </c>
      <c r="M41" s="32">
        <f>RANK(L41,$L$39:$L$42,0)</f>
        <v>3</v>
      </c>
      <c r="N41" s="32" t="str">
        <f t="shared" si="1"/>
        <v>3rd</v>
      </c>
      <c r="P41" s="32">
        <f>SUMIFS(ENG_Long!$M$2:$M$145,ENG_Long!$B$2:$B$145,$B41)</f>
        <v>0</v>
      </c>
      <c r="Q41" s="32">
        <f>SUMIFS(ENG_Long!$N$2:$N$145,ENG_Long!$B$2:$B$145,$B41)</f>
        <v>0</v>
      </c>
      <c r="R41" s="32">
        <f>SUMIFS(ENG_Long!$O$2:$O$145,ENG_Long!$B$2:$B$145,$B41)</f>
        <v>0</v>
      </c>
      <c r="S41" s="32">
        <f>SUMIFS(ENG_Long!$P$2:$P$145,ENG_Long!$B$2:$B$145,$B41)</f>
        <v>0</v>
      </c>
      <c r="T41" s="32">
        <f>SUMIFS(ENG_Long!$K$2:$K$145,ENG_Long!$B$2:$B$145,$B41)</f>
        <v>0</v>
      </c>
      <c r="U41" s="32">
        <f>SUMIFS(ENG_Long!$L$2:$L$145,ENG_Long!$B$2:$B$145,$B41)</f>
        <v>0</v>
      </c>
      <c r="V41" s="32">
        <f t="shared" si="2"/>
        <v>0</v>
      </c>
      <c r="W41" s="32">
        <f>SUMIFS(ENG_Long!$Q$2:$Q$145,ENG_Long!$B$2:$B$145,$B41)</f>
        <v>0</v>
      </c>
      <c r="X41" s="33">
        <v>0</v>
      </c>
      <c r="Y41" s="32">
        <f>W41*1000000+(V41+100)*1000+T41*10+X41*0.1+0.002</f>
        <v>100000.00199999999</v>
      </c>
      <c r="Z41" s="32">
        <f>RANK(Y41,$Y$39:$Y$42,0)</f>
        <v>3</v>
      </c>
      <c r="AA41" s="32" t="str">
        <f t="shared" si="3"/>
        <v>3rd</v>
      </c>
    </row>
    <row r="42" spans="1:27" x14ac:dyDescent="0.2">
      <c r="A42" s="32" t="s">
        <v>56</v>
      </c>
      <c r="B42" s="47" t="s">
        <v>60</v>
      </c>
      <c r="C42" s="32">
        <f>SUMIFS(ENG_Long!$F$2:$F$145,ENG_Long!$B$2:$B$145,$B42)</f>
        <v>3</v>
      </c>
      <c r="D42" s="32">
        <f>SUMIFS(ENG_Long!$G$2:$G$145,ENG_Long!$B$2:$B$145,$B42)</f>
        <v>0</v>
      </c>
      <c r="E42" s="32">
        <f>SUMIFS(ENG_Long!$H$2:$H$145,ENG_Long!$B$2:$B$145,$B42)</f>
        <v>1</v>
      </c>
      <c r="F42" s="32">
        <f>SUMIFS(ENG_Long!$I$2:$I$145,ENG_Long!$B$2:$B$145,$B42)</f>
        <v>2</v>
      </c>
      <c r="G42" s="32">
        <f>SUMIFS(ENG_Long!$D$2:$D$145,ENG_Long!$B$2:$B$145,$B42)</f>
        <v>2</v>
      </c>
      <c r="H42" s="32">
        <f>SUMIFS(ENG_Long!$E$2:$E$145,ENG_Long!$B$2:$B$145,$B42)</f>
        <v>6</v>
      </c>
      <c r="I42" s="32">
        <f t="shared" si="0"/>
        <v>-4</v>
      </c>
      <c r="J42" s="32">
        <f>SUMIFS(ENG_Long!$J$2:$J$145,ENG_Long!$B$2:$B$145,$B42)</f>
        <v>1</v>
      </c>
      <c r="K42" s="33">
        <v>0</v>
      </c>
      <c r="L42" s="32">
        <f>J42*1000000+(I42+100)*1000+G42*10+K42*0.1+0.001</f>
        <v>1096020.0009999999</v>
      </c>
      <c r="M42" s="32">
        <f>RANK(L42,$L$39:$L$42,0)</f>
        <v>4</v>
      </c>
      <c r="N42" s="32" t="str">
        <f t="shared" si="1"/>
        <v>4th</v>
      </c>
      <c r="P42" s="32">
        <f>SUMIFS(ENG_Long!$M$2:$M$145,ENG_Long!$B$2:$B$145,$B42)</f>
        <v>0</v>
      </c>
      <c r="Q42" s="32">
        <f>SUMIFS(ENG_Long!$N$2:$N$145,ENG_Long!$B$2:$B$145,$B42)</f>
        <v>0</v>
      </c>
      <c r="R42" s="32">
        <f>SUMIFS(ENG_Long!$O$2:$O$145,ENG_Long!$B$2:$B$145,$B42)</f>
        <v>0</v>
      </c>
      <c r="S42" s="32">
        <f>SUMIFS(ENG_Long!$P$2:$P$145,ENG_Long!$B$2:$B$145,$B42)</f>
        <v>0</v>
      </c>
      <c r="T42" s="32">
        <f>SUMIFS(ENG_Long!$K$2:$K$145,ENG_Long!$B$2:$B$145,$B42)</f>
        <v>0</v>
      </c>
      <c r="U42" s="32">
        <f>SUMIFS(ENG_Long!$L$2:$L$145,ENG_Long!$B$2:$B$145,$B42)</f>
        <v>0</v>
      </c>
      <c r="V42" s="32">
        <f t="shared" si="2"/>
        <v>0</v>
      </c>
      <c r="W42" s="32">
        <f>SUMIFS(ENG_Long!$Q$2:$Q$145,ENG_Long!$B$2:$B$145,$B42)</f>
        <v>0</v>
      </c>
      <c r="X42" s="33">
        <v>0</v>
      </c>
      <c r="Y42" s="32">
        <f>W42*1000000+(V42+100)*1000+T42*10+X42*0.1+0.001</f>
        <v>100000.001</v>
      </c>
      <c r="Z42" s="32">
        <f>RANK(Y42,$Y$39:$Y$42,0)</f>
        <v>4</v>
      </c>
      <c r="AA42" s="32" t="str">
        <f t="shared" si="3"/>
        <v>4th</v>
      </c>
    </row>
    <row r="43" spans="1:27" x14ac:dyDescent="0.2">
      <c r="A43" s="34" t="s">
        <v>61</v>
      </c>
      <c r="B43" s="48" t="s">
        <v>62</v>
      </c>
      <c r="C43" s="34">
        <f>SUMIFS(ENG_Long!$F$2:$F$145,ENG_Long!$B$2:$B$145,$B43)</f>
        <v>3</v>
      </c>
      <c r="D43" s="34">
        <f>SUMIFS(ENG_Long!$G$2:$G$145,ENG_Long!$B$2:$B$145,$B43)</f>
        <v>3</v>
      </c>
      <c r="E43" s="34">
        <f>SUMIFS(ENG_Long!$H$2:$H$145,ENG_Long!$B$2:$B$145,$B43)</f>
        <v>0</v>
      </c>
      <c r="F43" s="34">
        <f>SUMIFS(ENG_Long!$I$2:$I$145,ENG_Long!$B$2:$B$145,$B43)</f>
        <v>0</v>
      </c>
      <c r="G43" s="34">
        <f>SUMIFS(ENG_Long!$D$2:$D$145,ENG_Long!$B$2:$B$145,$B43)</f>
        <v>7</v>
      </c>
      <c r="H43" s="34">
        <f>SUMIFS(ENG_Long!$E$2:$E$145,ENG_Long!$B$2:$B$145,$B43)</f>
        <v>2</v>
      </c>
      <c r="I43" s="34">
        <f t="shared" si="0"/>
        <v>5</v>
      </c>
      <c r="J43" s="34">
        <f>SUMIFS(ENG_Long!$J$2:$J$145,ENG_Long!$B$2:$B$145,$B43)</f>
        <v>9</v>
      </c>
      <c r="K43" s="35">
        <v>0</v>
      </c>
      <c r="L43" s="34">
        <f>J43*1000000+(I43+100)*1000+G43*10+K43*0.1+0.004</f>
        <v>9105070.0040000007</v>
      </c>
      <c r="M43" s="34">
        <f>RANK(L43,$L$43:$L$46,0)</f>
        <v>1</v>
      </c>
      <c r="N43" s="34" t="str">
        <f t="shared" si="1"/>
        <v>1st</v>
      </c>
      <c r="P43" s="34">
        <f>SUMIFS(ENG_Long!$M$2:$M$145,ENG_Long!$B$2:$B$145,$B43)</f>
        <v>0</v>
      </c>
      <c r="Q43" s="34">
        <f>SUMIFS(ENG_Long!$N$2:$N$145,ENG_Long!$B$2:$B$145,$B43)</f>
        <v>0</v>
      </c>
      <c r="R43" s="34">
        <f>SUMIFS(ENG_Long!$O$2:$O$145,ENG_Long!$B$2:$B$145,$B43)</f>
        <v>0</v>
      </c>
      <c r="S43" s="34">
        <f>SUMIFS(ENG_Long!$P$2:$P$145,ENG_Long!$B$2:$B$145,$B43)</f>
        <v>0</v>
      </c>
      <c r="T43" s="34">
        <f>SUMIFS(ENG_Long!$K$2:$K$145,ENG_Long!$B$2:$B$145,$B43)</f>
        <v>0</v>
      </c>
      <c r="U43" s="34">
        <f>SUMIFS(ENG_Long!$L$2:$L$145,ENG_Long!$B$2:$B$145,$B43)</f>
        <v>0</v>
      </c>
      <c r="V43" s="34">
        <f t="shared" si="2"/>
        <v>0</v>
      </c>
      <c r="W43" s="34">
        <f>SUMIFS(ENG_Long!$Q$2:$Q$145,ENG_Long!$B$2:$B$145,$B43)</f>
        <v>0</v>
      </c>
      <c r="X43" s="35">
        <v>0</v>
      </c>
      <c r="Y43" s="34">
        <f>W43*1000000+(V43+100)*1000+T43*10+X43*0.1+0.004</f>
        <v>100000.004</v>
      </c>
      <c r="Z43" s="34">
        <f>RANK(Y43,$Y$43:$Y$46,0)</f>
        <v>1</v>
      </c>
      <c r="AA43" s="34" t="str">
        <f t="shared" si="3"/>
        <v>1st</v>
      </c>
    </row>
    <row r="44" spans="1:27" x14ac:dyDescent="0.2">
      <c r="A44" s="34" t="s">
        <v>61</v>
      </c>
      <c r="B44" s="48" t="s">
        <v>63</v>
      </c>
      <c r="C44" s="34">
        <f>SUMIFS(ENG_Long!$F$2:$F$145,ENG_Long!$B$2:$B$145,$B44)</f>
        <v>3</v>
      </c>
      <c r="D44" s="34">
        <f>SUMIFS(ENG_Long!$G$2:$G$145,ENG_Long!$B$2:$B$145,$B44)</f>
        <v>2</v>
      </c>
      <c r="E44" s="34">
        <f>SUMIFS(ENG_Long!$H$2:$H$145,ENG_Long!$B$2:$B$145,$B44)</f>
        <v>0</v>
      </c>
      <c r="F44" s="34">
        <f>SUMIFS(ENG_Long!$I$2:$I$145,ENG_Long!$B$2:$B$145,$B44)</f>
        <v>1</v>
      </c>
      <c r="G44" s="34">
        <f>SUMIFS(ENG_Long!$D$2:$D$145,ENG_Long!$B$2:$B$145,$B44)</f>
        <v>5</v>
      </c>
      <c r="H44" s="34">
        <f>SUMIFS(ENG_Long!$E$2:$E$145,ENG_Long!$B$2:$B$145,$B44)</f>
        <v>2</v>
      </c>
      <c r="I44" s="34">
        <f t="shared" si="0"/>
        <v>3</v>
      </c>
      <c r="J44" s="34">
        <f>SUMIFS(ENG_Long!$J$2:$J$145,ENG_Long!$B$2:$B$145,$B44)</f>
        <v>6</v>
      </c>
      <c r="K44" s="35">
        <v>0</v>
      </c>
      <c r="L44" s="34">
        <f>J44*1000000+(I44+100)*1000+G44*10+K44*0.1+0.003</f>
        <v>6103050.0029999996</v>
      </c>
      <c r="M44" s="34">
        <f>RANK(L44,$L$43:$L$46,0)</f>
        <v>2</v>
      </c>
      <c r="N44" s="34" t="str">
        <f t="shared" si="1"/>
        <v>2nd</v>
      </c>
      <c r="P44" s="34">
        <f>SUMIFS(ENG_Long!$M$2:$M$145,ENG_Long!$B$2:$B$145,$B44)</f>
        <v>0</v>
      </c>
      <c r="Q44" s="34">
        <f>SUMIFS(ENG_Long!$N$2:$N$145,ENG_Long!$B$2:$B$145,$B44)</f>
        <v>0</v>
      </c>
      <c r="R44" s="34">
        <f>SUMIFS(ENG_Long!$O$2:$O$145,ENG_Long!$B$2:$B$145,$B44)</f>
        <v>0</v>
      </c>
      <c r="S44" s="34">
        <f>SUMIFS(ENG_Long!$P$2:$P$145,ENG_Long!$B$2:$B$145,$B44)</f>
        <v>0</v>
      </c>
      <c r="T44" s="34">
        <f>SUMIFS(ENG_Long!$K$2:$K$145,ENG_Long!$B$2:$B$145,$B44)</f>
        <v>0</v>
      </c>
      <c r="U44" s="34">
        <f>SUMIFS(ENG_Long!$L$2:$L$145,ENG_Long!$B$2:$B$145,$B44)</f>
        <v>0</v>
      </c>
      <c r="V44" s="34">
        <f t="shared" si="2"/>
        <v>0</v>
      </c>
      <c r="W44" s="34">
        <f>SUMIFS(ENG_Long!$Q$2:$Q$145,ENG_Long!$B$2:$B$145,$B44)</f>
        <v>0</v>
      </c>
      <c r="X44" s="35">
        <v>0</v>
      </c>
      <c r="Y44" s="34">
        <f>W44*1000000+(V44+100)*1000+T44*10+X44*0.1+0.003</f>
        <v>100000.003</v>
      </c>
      <c r="Z44" s="34">
        <f>RANK(Y44,$Y$43:$Y$46,0)</f>
        <v>2</v>
      </c>
      <c r="AA44" s="34" t="str">
        <f t="shared" si="3"/>
        <v>2nd</v>
      </c>
    </row>
    <row r="45" spans="1:27" x14ac:dyDescent="0.2">
      <c r="A45" s="34" t="s">
        <v>61</v>
      </c>
      <c r="B45" s="48" t="s">
        <v>64</v>
      </c>
      <c r="C45" s="34">
        <f>SUMIFS(ENG_Long!$F$2:$F$145,ENG_Long!$B$2:$B$145,$B45)</f>
        <v>3</v>
      </c>
      <c r="D45" s="34">
        <f>SUMIFS(ENG_Long!$G$2:$G$145,ENG_Long!$B$2:$B$145,$B45)</f>
        <v>0</v>
      </c>
      <c r="E45" s="34">
        <f>SUMIFS(ENG_Long!$H$2:$H$145,ENG_Long!$B$2:$B$145,$B45)</f>
        <v>0</v>
      </c>
      <c r="F45" s="34">
        <f>SUMIFS(ENG_Long!$I$2:$I$145,ENG_Long!$B$2:$B$145,$B45)</f>
        <v>3</v>
      </c>
      <c r="G45" s="34">
        <f>SUMIFS(ENG_Long!$D$2:$D$145,ENG_Long!$B$2:$B$145,$B45)</f>
        <v>1</v>
      </c>
      <c r="H45" s="34">
        <f>SUMIFS(ENG_Long!$E$2:$E$145,ENG_Long!$B$2:$B$145,$B45)</f>
        <v>8</v>
      </c>
      <c r="I45" s="34">
        <f t="shared" si="0"/>
        <v>-7</v>
      </c>
      <c r="J45" s="34">
        <f>SUMIFS(ENG_Long!$J$2:$J$145,ENG_Long!$B$2:$B$145,$B45)</f>
        <v>0</v>
      </c>
      <c r="K45" s="35">
        <v>0</v>
      </c>
      <c r="L45" s="34">
        <f>J45*1000000+(I45+100)*1000+G45*10+K45*0.1+0.002</f>
        <v>93010.001999999993</v>
      </c>
      <c r="M45" s="34">
        <f>RANK(L45,$L$43:$L$46,0)</f>
        <v>4</v>
      </c>
      <c r="N45" s="34" t="str">
        <f t="shared" si="1"/>
        <v>4th</v>
      </c>
      <c r="P45" s="34">
        <f>SUMIFS(ENG_Long!$M$2:$M$145,ENG_Long!$B$2:$B$145,$B45)</f>
        <v>0</v>
      </c>
      <c r="Q45" s="34">
        <f>SUMIFS(ENG_Long!$N$2:$N$145,ENG_Long!$B$2:$B$145,$B45)</f>
        <v>0</v>
      </c>
      <c r="R45" s="34">
        <f>SUMIFS(ENG_Long!$O$2:$O$145,ENG_Long!$B$2:$B$145,$B45)</f>
        <v>0</v>
      </c>
      <c r="S45" s="34">
        <f>SUMIFS(ENG_Long!$P$2:$P$145,ENG_Long!$B$2:$B$145,$B45)</f>
        <v>0</v>
      </c>
      <c r="T45" s="34">
        <f>SUMIFS(ENG_Long!$K$2:$K$145,ENG_Long!$B$2:$B$145,$B45)</f>
        <v>0</v>
      </c>
      <c r="U45" s="34">
        <f>SUMIFS(ENG_Long!$L$2:$L$145,ENG_Long!$B$2:$B$145,$B45)</f>
        <v>0</v>
      </c>
      <c r="V45" s="34">
        <f t="shared" si="2"/>
        <v>0</v>
      </c>
      <c r="W45" s="34">
        <f>SUMIFS(ENG_Long!$Q$2:$Q$145,ENG_Long!$B$2:$B$145,$B45)</f>
        <v>0</v>
      </c>
      <c r="X45" s="35">
        <v>0</v>
      </c>
      <c r="Y45" s="34">
        <f>W45*1000000+(V45+100)*1000+T45*10+X45*0.1+0.002</f>
        <v>100000.00199999999</v>
      </c>
      <c r="Z45" s="34">
        <f>RANK(Y45,$Y$43:$Y$46,0)</f>
        <v>3</v>
      </c>
      <c r="AA45" s="34" t="str">
        <f t="shared" si="3"/>
        <v>3rd</v>
      </c>
    </row>
    <row r="46" spans="1:27" x14ac:dyDescent="0.2">
      <c r="A46" s="34" t="s">
        <v>61</v>
      </c>
      <c r="B46" s="48" t="s">
        <v>65</v>
      </c>
      <c r="C46" s="34">
        <f>SUMIFS(ENG_Long!$F$2:$F$145,ENG_Long!$B$2:$B$145,$B46)</f>
        <v>3</v>
      </c>
      <c r="D46" s="34">
        <f>SUMIFS(ENG_Long!$G$2:$G$145,ENG_Long!$B$2:$B$145,$B46)</f>
        <v>1</v>
      </c>
      <c r="E46" s="34">
        <f>SUMIFS(ENG_Long!$H$2:$H$145,ENG_Long!$B$2:$B$145,$B46)</f>
        <v>0</v>
      </c>
      <c r="F46" s="34">
        <f>SUMIFS(ENG_Long!$I$2:$I$145,ENG_Long!$B$2:$B$145,$B46)</f>
        <v>2</v>
      </c>
      <c r="G46" s="34">
        <f>SUMIFS(ENG_Long!$D$2:$D$145,ENG_Long!$B$2:$B$145,$B46)</f>
        <v>3</v>
      </c>
      <c r="H46" s="34">
        <f>SUMIFS(ENG_Long!$E$2:$E$145,ENG_Long!$B$2:$B$145,$B46)</f>
        <v>4</v>
      </c>
      <c r="I46" s="34">
        <f t="shared" si="0"/>
        <v>-1</v>
      </c>
      <c r="J46" s="34">
        <f>SUMIFS(ENG_Long!$J$2:$J$145,ENG_Long!$B$2:$B$145,$B46)</f>
        <v>3</v>
      </c>
      <c r="K46" s="35">
        <v>0</v>
      </c>
      <c r="L46" s="34">
        <f>J46*1000000+(I46+100)*1000+G46*10+K46*0.1+0.001</f>
        <v>3099030.0010000002</v>
      </c>
      <c r="M46" s="34">
        <f>RANK(L46,$L$43:$L$46,0)</f>
        <v>3</v>
      </c>
      <c r="N46" s="34" t="str">
        <f t="shared" si="1"/>
        <v>3rd</v>
      </c>
      <c r="P46" s="34">
        <f>SUMIFS(ENG_Long!$M$2:$M$145,ENG_Long!$B$2:$B$145,$B46)</f>
        <v>0</v>
      </c>
      <c r="Q46" s="34">
        <f>SUMIFS(ENG_Long!$N$2:$N$145,ENG_Long!$B$2:$B$145,$B46)</f>
        <v>0</v>
      </c>
      <c r="R46" s="34">
        <f>SUMIFS(ENG_Long!$O$2:$O$145,ENG_Long!$B$2:$B$145,$B46)</f>
        <v>0</v>
      </c>
      <c r="S46" s="34">
        <f>SUMIFS(ENG_Long!$P$2:$P$145,ENG_Long!$B$2:$B$145,$B46)</f>
        <v>0</v>
      </c>
      <c r="T46" s="34">
        <f>SUMIFS(ENG_Long!$K$2:$K$145,ENG_Long!$B$2:$B$145,$B46)</f>
        <v>0</v>
      </c>
      <c r="U46" s="34">
        <f>SUMIFS(ENG_Long!$L$2:$L$145,ENG_Long!$B$2:$B$145,$B46)</f>
        <v>0</v>
      </c>
      <c r="V46" s="34">
        <f t="shared" si="2"/>
        <v>0</v>
      </c>
      <c r="W46" s="34">
        <f>SUMIFS(ENG_Long!$Q$2:$Q$145,ENG_Long!$B$2:$B$145,$B46)</f>
        <v>0</v>
      </c>
      <c r="X46" s="35">
        <v>0</v>
      </c>
      <c r="Y46" s="34">
        <f>W46*1000000+(V46+100)*1000+T46*10+X46*0.1+0.001</f>
        <v>100000.001</v>
      </c>
      <c r="Z46" s="34">
        <f>RANK(Y46,$Y$43:$Y$46,0)</f>
        <v>4</v>
      </c>
      <c r="AA46" s="34" t="str">
        <f t="shared" si="3"/>
        <v>4th</v>
      </c>
    </row>
    <row r="47" spans="1:27" x14ac:dyDescent="0.2">
      <c r="A47" s="36" t="s">
        <v>66</v>
      </c>
      <c r="B47" s="49" t="s">
        <v>67</v>
      </c>
      <c r="C47" s="36">
        <f>SUMIFS(ENG_Long!$F$2:$F$145,ENG_Long!$B$2:$B$145,$B47)</f>
        <v>3</v>
      </c>
      <c r="D47" s="36">
        <f>SUMIFS(ENG_Long!$G$2:$G$145,ENG_Long!$B$2:$B$145,$B47)</f>
        <v>2</v>
      </c>
      <c r="E47" s="36">
        <f>SUMIFS(ENG_Long!$H$2:$H$145,ENG_Long!$B$2:$B$145,$B47)</f>
        <v>1</v>
      </c>
      <c r="F47" s="36">
        <f>SUMIFS(ENG_Long!$I$2:$I$145,ENG_Long!$B$2:$B$145,$B47)</f>
        <v>0</v>
      </c>
      <c r="G47" s="36">
        <f>SUMIFS(ENG_Long!$D$2:$D$145,ENG_Long!$B$2:$B$145,$B47)</f>
        <v>5</v>
      </c>
      <c r="H47" s="36">
        <f>SUMIFS(ENG_Long!$E$2:$E$145,ENG_Long!$B$2:$B$145,$B47)</f>
        <v>2</v>
      </c>
      <c r="I47" s="36">
        <f t="shared" si="0"/>
        <v>3</v>
      </c>
      <c r="J47" s="36">
        <f>SUMIFS(ENG_Long!$J$2:$J$145,ENG_Long!$B$2:$B$145,$B47)</f>
        <v>7</v>
      </c>
      <c r="K47" s="37">
        <v>0</v>
      </c>
      <c r="L47" s="36">
        <f>J47*1000000+(I47+100)*1000+G47*10+K47*0.1+0.004</f>
        <v>7103050.0039999997</v>
      </c>
      <c r="M47" s="36">
        <f>RANK(L47,$L$47:$L$50,0)</f>
        <v>1</v>
      </c>
      <c r="N47" s="36" t="str">
        <f t="shared" si="1"/>
        <v>1st</v>
      </c>
      <c r="P47" s="36">
        <f>SUMIFS(ENG_Long!$M$2:$M$145,ENG_Long!$B$2:$B$145,$B47)</f>
        <v>0</v>
      </c>
      <c r="Q47" s="36">
        <f>SUMIFS(ENG_Long!$N$2:$N$145,ENG_Long!$B$2:$B$145,$B47)</f>
        <v>0</v>
      </c>
      <c r="R47" s="36">
        <f>SUMIFS(ENG_Long!$O$2:$O$145,ENG_Long!$B$2:$B$145,$B47)</f>
        <v>0</v>
      </c>
      <c r="S47" s="36">
        <f>SUMIFS(ENG_Long!$P$2:$P$145,ENG_Long!$B$2:$B$145,$B47)</f>
        <v>0</v>
      </c>
      <c r="T47" s="36">
        <f>SUMIFS(ENG_Long!$K$2:$K$145,ENG_Long!$B$2:$B$145,$B47)</f>
        <v>0</v>
      </c>
      <c r="U47" s="36">
        <f>SUMIFS(ENG_Long!$L$2:$L$145,ENG_Long!$B$2:$B$145,$B47)</f>
        <v>0</v>
      </c>
      <c r="V47" s="36">
        <f t="shared" si="2"/>
        <v>0</v>
      </c>
      <c r="W47" s="36">
        <f>SUMIFS(ENG_Long!$Q$2:$Q$145,ENG_Long!$B$2:$B$145,$B47)</f>
        <v>0</v>
      </c>
      <c r="X47" s="37">
        <v>0</v>
      </c>
      <c r="Y47" s="36">
        <f>W47*1000000+(V47+100)*1000+T47*10+X47*0.1+0.004</f>
        <v>100000.004</v>
      </c>
      <c r="Z47" s="36">
        <f>RANK(Y47,$Y$47:$Y$50,0)</f>
        <v>1</v>
      </c>
      <c r="AA47" s="36" t="str">
        <f t="shared" si="3"/>
        <v>1st</v>
      </c>
    </row>
    <row r="48" spans="1:27" x14ac:dyDescent="0.2">
      <c r="A48" s="36" t="s">
        <v>66</v>
      </c>
      <c r="B48" s="49" t="s">
        <v>68</v>
      </c>
      <c r="C48" s="36">
        <f>SUMIFS(ENG_Long!$F$2:$F$145,ENG_Long!$B$2:$B$145,$B48)</f>
        <v>3</v>
      </c>
      <c r="D48" s="36">
        <f>SUMIFS(ENG_Long!$G$2:$G$145,ENG_Long!$B$2:$B$145,$B48)</f>
        <v>2</v>
      </c>
      <c r="E48" s="36">
        <f>SUMIFS(ENG_Long!$H$2:$H$145,ENG_Long!$B$2:$B$145,$B48)</f>
        <v>1</v>
      </c>
      <c r="F48" s="36">
        <f>SUMIFS(ENG_Long!$I$2:$I$145,ENG_Long!$B$2:$B$145,$B48)</f>
        <v>0</v>
      </c>
      <c r="G48" s="36">
        <f>SUMIFS(ENG_Long!$D$2:$D$145,ENG_Long!$B$2:$B$145,$B48)</f>
        <v>5</v>
      </c>
      <c r="H48" s="36">
        <f>SUMIFS(ENG_Long!$E$2:$E$145,ENG_Long!$B$2:$B$145,$B48)</f>
        <v>2</v>
      </c>
      <c r="I48" s="36">
        <f t="shared" si="0"/>
        <v>3</v>
      </c>
      <c r="J48" s="36">
        <f>SUMIFS(ENG_Long!$J$2:$J$145,ENG_Long!$B$2:$B$145,$B48)</f>
        <v>7</v>
      </c>
      <c r="K48" s="37">
        <v>0</v>
      </c>
      <c r="L48" s="36">
        <f>J48*1000000+(I48+100)*1000+G48*10+K48*0.1+0.003</f>
        <v>7103050.0029999996</v>
      </c>
      <c r="M48" s="36">
        <f>RANK(L48,$L$47:$L$50,0)</f>
        <v>2</v>
      </c>
      <c r="N48" s="36" t="str">
        <f t="shared" si="1"/>
        <v>2nd</v>
      </c>
      <c r="P48" s="36">
        <f>SUMIFS(ENG_Long!$M$2:$M$145,ENG_Long!$B$2:$B$145,$B48)</f>
        <v>0</v>
      </c>
      <c r="Q48" s="36">
        <f>SUMIFS(ENG_Long!$N$2:$N$145,ENG_Long!$B$2:$B$145,$B48)</f>
        <v>0</v>
      </c>
      <c r="R48" s="36">
        <f>SUMIFS(ENG_Long!$O$2:$O$145,ENG_Long!$B$2:$B$145,$B48)</f>
        <v>0</v>
      </c>
      <c r="S48" s="36">
        <f>SUMIFS(ENG_Long!$P$2:$P$145,ENG_Long!$B$2:$B$145,$B48)</f>
        <v>0</v>
      </c>
      <c r="T48" s="36">
        <f>SUMIFS(ENG_Long!$K$2:$K$145,ENG_Long!$B$2:$B$145,$B48)</f>
        <v>0</v>
      </c>
      <c r="U48" s="36">
        <f>SUMIFS(ENG_Long!$L$2:$L$145,ENG_Long!$B$2:$B$145,$B48)</f>
        <v>0</v>
      </c>
      <c r="V48" s="36">
        <f t="shared" si="2"/>
        <v>0</v>
      </c>
      <c r="W48" s="36">
        <f>SUMIFS(ENG_Long!$Q$2:$Q$145,ENG_Long!$B$2:$B$145,$B48)</f>
        <v>0</v>
      </c>
      <c r="X48" s="37">
        <v>0</v>
      </c>
      <c r="Y48" s="36">
        <f>W48*1000000+(V48+100)*1000+T48*10+X48*0.1+0.003</f>
        <v>100000.003</v>
      </c>
      <c r="Z48" s="36">
        <f>RANK(Y48,$Y$47:$Y$50,0)</f>
        <v>2</v>
      </c>
      <c r="AA48" s="36" t="str">
        <f t="shared" si="3"/>
        <v>2nd</v>
      </c>
    </row>
    <row r="49" spans="1:27" x14ac:dyDescent="0.2">
      <c r="A49" s="36" t="s">
        <v>66</v>
      </c>
      <c r="B49" s="49" t="s">
        <v>69</v>
      </c>
      <c r="C49" s="36">
        <f>SUMIFS(ENG_Long!$F$2:$F$145,ENG_Long!$B$2:$B$145,$B49)</f>
        <v>3</v>
      </c>
      <c r="D49" s="36">
        <f>SUMIFS(ENG_Long!$G$2:$G$145,ENG_Long!$B$2:$B$145,$B49)</f>
        <v>0</v>
      </c>
      <c r="E49" s="36">
        <f>SUMIFS(ENG_Long!$H$2:$H$145,ENG_Long!$B$2:$B$145,$B49)</f>
        <v>0</v>
      </c>
      <c r="F49" s="36">
        <f>SUMIFS(ENG_Long!$I$2:$I$145,ENG_Long!$B$2:$B$145,$B49)</f>
        <v>3</v>
      </c>
      <c r="G49" s="36">
        <f>SUMIFS(ENG_Long!$D$2:$D$145,ENG_Long!$B$2:$B$145,$B49)</f>
        <v>0</v>
      </c>
      <c r="H49" s="36">
        <f>SUMIFS(ENG_Long!$E$2:$E$145,ENG_Long!$B$2:$B$145,$B49)</f>
        <v>6</v>
      </c>
      <c r="I49" s="36">
        <f t="shared" si="0"/>
        <v>-6</v>
      </c>
      <c r="J49" s="36">
        <f>SUMIFS(ENG_Long!$J$2:$J$145,ENG_Long!$B$2:$B$145,$B49)</f>
        <v>0</v>
      </c>
      <c r="K49" s="37">
        <v>0</v>
      </c>
      <c r="L49" s="36">
        <f>J49*1000000+(I49+100)*1000+G49*10+K49*0.1+0.002</f>
        <v>94000.001999999993</v>
      </c>
      <c r="M49" s="36">
        <f>RANK(L49,$L$47:$L$50,0)</f>
        <v>4</v>
      </c>
      <c r="N49" s="36" t="str">
        <f t="shared" si="1"/>
        <v>4th</v>
      </c>
      <c r="P49" s="36">
        <f>SUMIFS(ENG_Long!$M$2:$M$145,ENG_Long!$B$2:$B$145,$B49)</f>
        <v>0</v>
      </c>
      <c r="Q49" s="36">
        <f>SUMIFS(ENG_Long!$N$2:$N$145,ENG_Long!$B$2:$B$145,$B49)</f>
        <v>0</v>
      </c>
      <c r="R49" s="36">
        <f>SUMIFS(ENG_Long!$O$2:$O$145,ENG_Long!$B$2:$B$145,$B49)</f>
        <v>0</v>
      </c>
      <c r="S49" s="36">
        <f>SUMIFS(ENG_Long!$P$2:$P$145,ENG_Long!$B$2:$B$145,$B49)</f>
        <v>0</v>
      </c>
      <c r="T49" s="36">
        <f>SUMIFS(ENG_Long!$K$2:$K$145,ENG_Long!$B$2:$B$145,$B49)</f>
        <v>0</v>
      </c>
      <c r="U49" s="36">
        <f>SUMIFS(ENG_Long!$L$2:$L$145,ENG_Long!$B$2:$B$145,$B49)</f>
        <v>0</v>
      </c>
      <c r="V49" s="36">
        <f t="shared" si="2"/>
        <v>0</v>
      </c>
      <c r="W49" s="36">
        <f>SUMIFS(ENG_Long!$Q$2:$Q$145,ENG_Long!$B$2:$B$145,$B49)</f>
        <v>0</v>
      </c>
      <c r="X49" s="37">
        <v>0</v>
      </c>
      <c r="Y49" s="36">
        <f>W49*1000000+(V49+100)*1000+T49*10+X49*0.1+0.002</f>
        <v>100000.00199999999</v>
      </c>
      <c r="Z49" s="36">
        <f>RANK(Y49,$Y$47:$Y$50,0)</f>
        <v>3</v>
      </c>
      <c r="AA49" s="36" t="str">
        <f t="shared" si="3"/>
        <v>3rd</v>
      </c>
    </row>
    <row r="50" spans="1:27" x14ac:dyDescent="0.2">
      <c r="A50" s="36" t="s">
        <v>66</v>
      </c>
      <c r="B50" s="49" t="s">
        <v>70</v>
      </c>
      <c r="C50" s="36">
        <f>SUMIFS(ENG_Long!$F$2:$F$145,ENG_Long!$B$2:$B$145,$B50)</f>
        <v>3</v>
      </c>
      <c r="D50" s="36">
        <f>SUMIFS(ENG_Long!$G$2:$G$145,ENG_Long!$B$2:$B$145,$B50)</f>
        <v>1</v>
      </c>
      <c r="E50" s="36">
        <f>SUMIFS(ENG_Long!$H$2:$H$145,ENG_Long!$B$2:$B$145,$B50)</f>
        <v>0</v>
      </c>
      <c r="F50" s="36">
        <f>SUMIFS(ENG_Long!$I$2:$I$145,ENG_Long!$B$2:$B$145,$B50)</f>
        <v>2</v>
      </c>
      <c r="G50" s="36">
        <f>SUMIFS(ENG_Long!$D$2:$D$145,ENG_Long!$B$2:$B$145,$B50)</f>
        <v>4</v>
      </c>
      <c r="H50" s="36">
        <f>SUMIFS(ENG_Long!$E$2:$E$145,ENG_Long!$B$2:$B$145,$B50)</f>
        <v>4</v>
      </c>
      <c r="I50" s="36">
        <f t="shared" si="0"/>
        <v>0</v>
      </c>
      <c r="J50" s="36">
        <f>SUMIFS(ENG_Long!$J$2:$J$145,ENG_Long!$B$2:$B$145,$B50)</f>
        <v>3</v>
      </c>
      <c r="K50" s="37">
        <v>0</v>
      </c>
      <c r="L50" s="36">
        <f>J50*1000000+(I50+100)*1000+G50*10+K50*0.1+0.001</f>
        <v>3100040.0010000002</v>
      </c>
      <c r="M50" s="36">
        <f>RANK(L50,$L$47:$L$50,0)</f>
        <v>3</v>
      </c>
      <c r="N50" s="36" t="str">
        <f t="shared" si="1"/>
        <v>3rd</v>
      </c>
      <c r="P50" s="36">
        <f>SUMIFS(ENG_Long!$M$2:$M$145,ENG_Long!$B$2:$B$145,$B50)</f>
        <v>0</v>
      </c>
      <c r="Q50" s="36">
        <f>SUMIFS(ENG_Long!$N$2:$N$145,ENG_Long!$B$2:$B$145,$B50)</f>
        <v>0</v>
      </c>
      <c r="R50" s="36">
        <f>SUMIFS(ENG_Long!$O$2:$O$145,ENG_Long!$B$2:$B$145,$B50)</f>
        <v>0</v>
      </c>
      <c r="S50" s="36">
        <f>SUMIFS(ENG_Long!$P$2:$P$145,ENG_Long!$B$2:$B$145,$B50)</f>
        <v>0</v>
      </c>
      <c r="T50" s="36">
        <f>SUMIFS(ENG_Long!$K$2:$K$145,ENG_Long!$B$2:$B$145,$B50)</f>
        <v>0</v>
      </c>
      <c r="U50" s="36">
        <f>SUMIFS(ENG_Long!$L$2:$L$145,ENG_Long!$B$2:$B$145,$B50)</f>
        <v>0</v>
      </c>
      <c r="V50" s="36">
        <f t="shared" si="2"/>
        <v>0</v>
      </c>
      <c r="W50" s="36">
        <f>SUMIFS(ENG_Long!$Q$2:$Q$145,ENG_Long!$B$2:$B$145,$B50)</f>
        <v>0</v>
      </c>
      <c r="X50" s="37">
        <v>0</v>
      </c>
      <c r="Y50" s="36">
        <f>W50*1000000+(V50+100)*1000+T50*10+X50*0.1+0.001</f>
        <v>100000.001</v>
      </c>
      <c r="Z50" s="36">
        <f>RANK(Y50,$Y$47:$Y$50,0)</f>
        <v>4</v>
      </c>
      <c r="AA50" s="36" t="str">
        <f t="shared" si="3"/>
        <v>4th</v>
      </c>
    </row>
    <row r="52" spans="1:27" x14ac:dyDescent="0.2">
      <c r="A52" s="4" t="s">
        <v>131</v>
      </c>
    </row>
    <row r="53" spans="1:27" x14ac:dyDescent="0.2">
      <c r="A53" s="1" t="s">
        <v>74</v>
      </c>
      <c r="B53" s="1" t="s">
        <v>132</v>
      </c>
      <c r="C53" s="1" t="s">
        <v>133</v>
      </c>
      <c r="D53" s="1" t="s">
        <v>134</v>
      </c>
      <c r="E53" s="1" t="s">
        <v>135</v>
      </c>
      <c r="F53" s="1" t="s">
        <v>136</v>
      </c>
      <c r="G53" s="1" t="s">
        <v>137</v>
      </c>
    </row>
    <row r="54" spans="1:27" ht="16" x14ac:dyDescent="0.2">
      <c r="A54" s="2" t="s">
        <v>4</v>
      </c>
      <c r="B54" s="56" t="str">
        <f>INDEX($B$3:$B$6,MATCH(1,$M$3:$M$6,0))</f>
        <v>South Korea</v>
      </c>
      <c r="C54" s="57" t="str">
        <f>INDEX($B$3:$B$6,MATCH(2,$M$3:$M$6,0))</f>
        <v>Mexico</v>
      </c>
      <c r="D54" s="58" t="str">
        <f>INDEX($B$3:$B$6,MATCH(3,$M$3:$M$6,0))</f>
        <v>Czechia</v>
      </c>
      <c r="E54" s="53" t="str">
        <f>INDEX($B$3:$B$6,MATCH(1,$Z$3:$Z$6,0))</f>
        <v>Mexico</v>
      </c>
      <c r="F54" s="54" t="str">
        <f>INDEX($B$3:$B$6,MATCH(2,$Z$3:$Z$6,0))</f>
        <v>South Korea</v>
      </c>
      <c r="G54" s="55" t="str">
        <f>INDEX($B$3:$B$6,MATCH(3,$Z$3:$Z$6,0))</f>
        <v>Czechia</v>
      </c>
      <c r="H54" s="50"/>
      <c r="I54" s="50">
        <f>INDEX($L$3:$L$6,MATCH(3,$M$3:$M$6,0))</f>
        <v>3100030.0010000002</v>
      </c>
      <c r="J54" s="50">
        <f>INDEX($Y$3:$Y$6,MATCH(3,$Z$3:$Z$6,0))</f>
        <v>99010.001000000004</v>
      </c>
    </row>
    <row r="55" spans="1:27" ht="16" x14ac:dyDescent="0.2">
      <c r="A55" s="2" t="s">
        <v>13</v>
      </c>
      <c r="B55" s="56" t="str">
        <f>INDEX($B$7:$B$10,MATCH(1,$M$7:$M$10,0))</f>
        <v>Bosnia &amp; Herzegovina</v>
      </c>
      <c r="C55" s="57" t="str">
        <f>INDEX($B$7:$B$10,MATCH(2,$M$7:$M$10,0))</f>
        <v>Switzerland</v>
      </c>
      <c r="D55" s="58" t="str">
        <f>INDEX($B$7:$B$10,MATCH(3,$M$7:$M$10,0))</f>
        <v>Canada</v>
      </c>
      <c r="E55" s="53" t="str">
        <f>INDEX($B$7:$B$10,MATCH(1,$Z$7:$Z$10,0))</f>
        <v>Canada</v>
      </c>
      <c r="F55" s="54" t="str">
        <f>INDEX($B$7:$B$10,MATCH(2,$Z$7:$Z$10,0))</f>
        <v>Switzerland</v>
      </c>
      <c r="G55" s="55" t="str">
        <f>INDEX($B$7:$B$10,MATCH(3,$Z$7:$Z$10,0))</f>
        <v>Qatar</v>
      </c>
      <c r="H55" s="50"/>
      <c r="I55" s="50">
        <f>INDEX($L$7:$L$10,MATCH(3,$M$7:$M$10,0))</f>
        <v>4101030.0040000002</v>
      </c>
      <c r="J55" s="50">
        <f>INDEX($Y$7:$Y$10,MATCH(3,$Z$7:$Z$10,0))</f>
        <v>1100010.0020000001</v>
      </c>
    </row>
    <row r="56" spans="1:27" ht="16" x14ac:dyDescent="0.2">
      <c r="A56" s="2" t="s">
        <v>18</v>
      </c>
      <c r="B56" s="56" t="str">
        <f>INDEX($B$11:$B$14,MATCH(1,$M$11:$M$14,0))</f>
        <v>Brazil</v>
      </c>
      <c r="C56" s="57" t="str">
        <f>INDEX($B$11:$B$14,MATCH(2,$M$11:$M$14,0))</f>
        <v>Morocco</v>
      </c>
      <c r="D56" s="58" t="str">
        <f>INDEX($B$11:$B$14,MATCH(3,$M$11:$M$14,0))</f>
        <v>Scotland</v>
      </c>
      <c r="E56" s="53" t="str">
        <f>INDEX($B$11:$B$14,MATCH(1,$Z$11:$Z$14,0))</f>
        <v>Scotland</v>
      </c>
      <c r="F56" s="54" t="str">
        <f>INDEX($B$11:$B$14,MATCH(2,$Z$11:$Z$14,0))</f>
        <v>Brazil</v>
      </c>
      <c r="G56" s="55" t="str">
        <f>INDEX($B$11:$B$14,MATCH(3,$Z$11:$Z$14,0))</f>
        <v>Morocco</v>
      </c>
      <c r="H56" s="50"/>
      <c r="I56" s="50">
        <f>INDEX($L$11:$L$14,MATCH(3,$M$11:$M$14,0))</f>
        <v>3100040.0019999999</v>
      </c>
      <c r="J56" s="50">
        <f>INDEX($Y$11:$Y$14,MATCH(3,$Z$11:$Z$14,0))</f>
        <v>1100010.003</v>
      </c>
    </row>
    <row r="57" spans="1:27" ht="16" x14ac:dyDescent="0.2">
      <c r="A57" s="2" t="s">
        <v>25</v>
      </c>
      <c r="B57" s="56" t="str">
        <f>INDEX($B$15:$B$18,MATCH(1,$M$15:$M$18,0))</f>
        <v>Türkiye</v>
      </c>
      <c r="C57" s="57" t="str">
        <f>INDEX($B$15:$B$18,MATCH(2,$M$15:$M$18,0))</f>
        <v>United States</v>
      </c>
      <c r="D57" s="58" t="str">
        <f>INDEX($B$15:$B$18,MATCH(3,$M$15:$M$18,0))</f>
        <v>Australia</v>
      </c>
      <c r="E57" s="53" t="str">
        <f>INDEX($B$15:$B$18,MATCH(1,$Z$15:$Z$18,0))</f>
        <v>United States</v>
      </c>
      <c r="F57" s="54" t="str">
        <f>INDEX($B$15:$B$18,MATCH(2,$Z$15:$Z$18,0))</f>
        <v>Australia</v>
      </c>
      <c r="G57" s="55" t="str">
        <f>INDEX($B$15:$B$18,MATCH(3,$Z$15:$Z$18,0))</f>
        <v>Türkiye</v>
      </c>
      <c r="H57" s="50"/>
      <c r="I57" s="50">
        <f>INDEX($L$15:$L$18,MATCH(3,$M$15:$M$18,0))</f>
        <v>3096020.0019999999</v>
      </c>
      <c r="J57" s="50">
        <f>INDEX($Y$15:$Y$18,MATCH(3,$Z$15:$Z$18,0))</f>
        <v>98000.001000000004</v>
      </c>
    </row>
    <row r="58" spans="1:27" ht="16" x14ac:dyDescent="0.2">
      <c r="A58" s="2" t="s">
        <v>30</v>
      </c>
      <c r="B58" s="56" t="str">
        <f>INDEX($B$19:$B$22,MATCH(1,$M$19:$M$22,0))</f>
        <v>Ecuador</v>
      </c>
      <c r="C58" s="57" t="str">
        <f>INDEX($B$19:$B$22,MATCH(2,$M$19:$M$22,0))</f>
        <v>Germany</v>
      </c>
      <c r="D58" s="58" t="str">
        <f>INDEX($B$19:$B$22,MATCH(3,$M$19:$M$22,0))</f>
        <v>Côte d'Ivoire</v>
      </c>
      <c r="E58" s="53" t="str">
        <f>INDEX($B$19:$B$22,MATCH(1,$Z$19:$Z$22,0))</f>
        <v>Germany</v>
      </c>
      <c r="F58" s="54" t="str">
        <f>INDEX($B$19:$B$22,MATCH(2,$Z$19:$Z$22,0))</f>
        <v>Côte d'Ivoire</v>
      </c>
      <c r="G58" s="55" t="str">
        <f>INDEX($B$19:$B$22,MATCH(3,$Z$19:$Z$22,0))</f>
        <v>Ecuador</v>
      </c>
      <c r="H58" s="50"/>
      <c r="I58" s="50">
        <f>INDEX($L$19:$L$22,MATCH(3,$M$19:$M$22,0))</f>
        <v>1097010.0020000001</v>
      </c>
      <c r="J58" s="50">
        <f>INDEX($Y$19:$Y$22,MATCH(3,$Z$19:$Z$22,0))</f>
        <v>99000.002999999997</v>
      </c>
    </row>
    <row r="59" spans="1:27" ht="16" x14ac:dyDescent="0.2">
      <c r="A59" s="2" t="s">
        <v>35</v>
      </c>
      <c r="B59" s="56" t="str">
        <f>INDEX($B$23:$B$26,MATCH(1,$M$23:$M$26,0))</f>
        <v>Netherlands</v>
      </c>
      <c r="C59" s="57" t="str">
        <f>INDEX($B$23:$B$26,MATCH(2,$M$23:$M$26,0))</f>
        <v>Japan</v>
      </c>
      <c r="D59" s="58" t="str">
        <f>INDEX($B$23:$B$26,MATCH(3,$M$23:$M$26,0))</f>
        <v>Sweden</v>
      </c>
      <c r="E59" s="53" t="str">
        <f>INDEX($B$23:$B$26,MATCH(1,$Z$23:$Z$26,0))</f>
        <v>Sweden</v>
      </c>
      <c r="F59" s="54" t="str">
        <f>INDEX($B$23:$B$26,MATCH(2,$Z$23:$Z$26,0))</f>
        <v>Netherlands</v>
      </c>
      <c r="G59" s="55" t="str">
        <f>INDEX($B$23:$B$26,MATCH(3,$Z$23:$Z$26,0))</f>
        <v>Japan</v>
      </c>
      <c r="H59" s="50"/>
      <c r="I59" s="50">
        <f>INDEX($L$23:$L$26,MATCH(3,$M$23:$M$26,0))</f>
        <v>3099030.0010000002</v>
      </c>
      <c r="J59" s="50">
        <f>INDEX($Y$23:$Y$26,MATCH(3,$Z$23:$Z$26,0))</f>
        <v>1100020.003</v>
      </c>
    </row>
    <row r="60" spans="1:27" ht="16" x14ac:dyDescent="0.2">
      <c r="A60" s="2" t="s">
        <v>40</v>
      </c>
      <c r="B60" s="56" t="str">
        <f>INDEX($B$27:$B$30,MATCH(1,$M$27:$M$30,0))</f>
        <v>Egypt</v>
      </c>
      <c r="C60" s="57" t="str">
        <f>INDEX($B$27:$B$30,MATCH(2,$M$27:$M$30,0))</f>
        <v>Belgium</v>
      </c>
      <c r="D60" s="58" t="str">
        <f>INDEX($B$27:$B$30,MATCH(3,$M$27:$M$30,0))</f>
        <v>Iran</v>
      </c>
      <c r="E60" s="53" t="str">
        <f>INDEX($B$27:$B$30,MATCH(1,$Z$27:$Z$30,0))</f>
        <v>Belgium</v>
      </c>
      <c r="F60" s="54" t="str">
        <f>INDEX($B$27:$B$30,MATCH(2,$Z$27:$Z$30,0))</f>
        <v>Iran</v>
      </c>
      <c r="G60" s="55" t="str">
        <f>INDEX($B$27:$B$30,MATCH(3,$Z$27:$Z$30,0))</f>
        <v>Egypt</v>
      </c>
      <c r="H60" s="50"/>
      <c r="I60" s="50">
        <f>INDEX($L$27:$L$30,MATCH(3,$M$27:$M$30,0))</f>
        <v>1097010.003</v>
      </c>
      <c r="J60" s="50">
        <f>INDEX($Y$27:$Y$30,MATCH(3,$Z$27:$Z$30,0))</f>
        <v>100000.00199999999</v>
      </c>
    </row>
    <row r="61" spans="1:27" ht="16" x14ac:dyDescent="0.2">
      <c r="A61" s="2" t="s">
        <v>46</v>
      </c>
      <c r="B61" s="56" t="str">
        <f>INDEX($B$31:$B$34,MATCH(1,$M$31:$M$34,0))</f>
        <v>Spain</v>
      </c>
      <c r="C61" s="57" t="str">
        <f>INDEX($B$31:$B$34,MATCH(2,$M$31:$M$34,0))</f>
        <v>Uruguay</v>
      </c>
      <c r="D61" s="58" t="str">
        <f>INDEX($B$31:$B$34,MATCH(3,$M$31:$M$34,0))</f>
        <v>Saudi Arabia</v>
      </c>
      <c r="E61" s="53" t="str">
        <f>INDEX($B$31:$B$34,MATCH(1,$Z$31:$Z$34,0))</f>
        <v>Spain</v>
      </c>
      <c r="F61" s="54" t="str">
        <f>INDEX($B$31:$B$34,MATCH(2,$Z$31:$Z$34,0))</f>
        <v>Uruguay</v>
      </c>
      <c r="G61" s="55" t="str">
        <f>INDEX($B$31:$B$34,MATCH(3,$Z$31:$Z$34,0))</f>
        <v>Saudi Arabia</v>
      </c>
      <c r="H61" s="50"/>
      <c r="I61" s="50">
        <f>INDEX($L$31:$L$34,MATCH(3,$M$31:$M$34,0))</f>
        <v>3098030.0019999999</v>
      </c>
      <c r="J61" s="50">
        <f>INDEX($Y$31:$Y$34,MATCH(3,$Z$31:$Z$34,0))</f>
        <v>100000.00199999999</v>
      </c>
    </row>
    <row r="62" spans="1:27" ht="16" x14ac:dyDescent="0.2">
      <c r="A62" s="2" t="s">
        <v>51</v>
      </c>
      <c r="B62" s="56" t="str">
        <f>INDEX($B$35:$B$38,MATCH(1,$M$35:$M$38,0))</f>
        <v>France</v>
      </c>
      <c r="C62" s="57" t="str">
        <f>INDEX($B$35:$B$38,MATCH(2,$M$35:$M$38,0))</f>
        <v>Norway</v>
      </c>
      <c r="D62" s="58" t="str">
        <f>INDEX($B$35:$B$38,MATCH(3,$M$35:$M$38,0))</f>
        <v>Senegal</v>
      </c>
      <c r="E62" s="53" t="str">
        <f>INDEX($B$35:$B$38,MATCH(1,$Z$35:$Z$38,0))</f>
        <v>France</v>
      </c>
      <c r="F62" s="54" t="str">
        <f>INDEX($B$35:$B$38,MATCH(2,$Z$35:$Z$38,0))</f>
        <v>Senegal</v>
      </c>
      <c r="G62" s="55" t="str">
        <f>INDEX($B$35:$B$38,MATCH(3,$Z$35:$Z$38,0))</f>
        <v>Norway</v>
      </c>
      <c r="H62" s="50"/>
      <c r="I62" s="50">
        <f>INDEX($L$35:$L$38,MATCH(3,$M$35:$M$38,0))</f>
        <v>3097020.003</v>
      </c>
      <c r="J62" s="50">
        <f>INDEX($Y$35:$Y$38,MATCH(3,$Z$35:$Z$38,0))</f>
        <v>100000.00199999999</v>
      </c>
    </row>
    <row r="63" spans="1:27" ht="16" x14ac:dyDescent="0.2">
      <c r="A63" s="2" t="s">
        <v>56</v>
      </c>
      <c r="B63" s="56" t="str">
        <f>INDEX($B$39:$B$42,MATCH(1,$M$39:$M$42,0))</f>
        <v>Argentina</v>
      </c>
      <c r="C63" s="57" t="str">
        <f>INDEX($B$39:$B$42,MATCH(2,$M$39:$M$42,0))</f>
        <v>Austria</v>
      </c>
      <c r="D63" s="58" t="str">
        <f>INDEX($B$39:$B$42,MATCH(3,$M$39:$M$42,0))</f>
        <v>Algeria</v>
      </c>
      <c r="E63" s="53" t="str">
        <f>INDEX($B$39:$B$42,MATCH(1,$Z$39:$Z$42,0))</f>
        <v>Argentina</v>
      </c>
      <c r="F63" s="54" t="str">
        <f>INDEX($B$39:$B$42,MATCH(2,$Z$39:$Z$42,0))</f>
        <v>Austria</v>
      </c>
      <c r="G63" s="55" t="str">
        <f>INDEX($B$39:$B$42,MATCH(3,$Z$39:$Z$42,0))</f>
        <v>Algeria</v>
      </c>
      <c r="H63" s="50"/>
      <c r="I63" s="50">
        <f>INDEX($L$39:$L$42,MATCH(3,$M$39:$M$42,0))</f>
        <v>1097030.0020000001</v>
      </c>
      <c r="J63" s="50">
        <f>INDEX($Y$39:$Y$42,MATCH(3,$Z$39:$Z$42,0))</f>
        <v>100000.00199999999</v>
      </c>
    </row>
    <row r="64" spans="1:27" ht="16" x14ac:dyDescent="0.2">
      <c r="A64" s="2" t="s">
        <v>61</v>
      </c>
      <c r="B64" s="56" t="str">
        <f>INDEX($B$43:$B$46,MATCH(1,$M$43:$M$46,0))</f>
        <v>Portugal</v>
      </c>
      <c r="C64" s="57" t="str">
        <f>INDEX($B$43:$B$46,MATCH(2,$M$43:$M$46,0))</f>
        <v>Colombia</v>
      </c>
      <c r="D64" s="58" t="str">
        <f>INDEX($B$43:$B$46,MATCH(3,$M$43:$M$46,0))</f>
        <v>DR Congo</v>
      </c>
      <c r="E64" s="53" t="str">
        <f>INDEX($B$43:$B$46,MATCH(1,$Z$43:$Z$46,0))</f>
        <v>Portugal</v>
      </c>
      <c r="F64" s="54" t="str">
        <f>INDEX($B$43:$B$46,MATCH(2,$Z$43:$Z$46,0))</f>
        <v>Colombia</v>
      </c>
      <c r="G64" s="55" t="str">
        <f>INDEX($B$43:$B$46,MATCH(3,$Z$43:$Z$46,0))</f>
        <v>Uzbekistan</v>
      </c>
      <c r="H64" s="50"/>
      <c r="I64" s="50">
        <f>INDEX($L$43:$L$46,MATCH(3,$M$43:$M$46,0))</f>
        <v>3099030.0010000002</v>
      </c>
      <c r="J64" s="50">
        <f>INDEX($Y$43:$Y$46,MATCH(3,$Z$43:$Z$46,0))</f>
        <v>100000.00199999999</v>
      </c>
    </row>
    <row r="65" spans="1:10" ht="16" x14ac:dyDescent="0.2">
      <c r="A65" s="2" t="s">
        <v>66</v>
      </c>
      <c r="B65" s="56" t="str">
        <f>INDEX($B$47:$B$50,MATCH(1,$M$47:$M$50,0))</f>
        <v>England</v>
      </c>
      <c r="C65" s="57" t="str">
        <f>INDEX($B$47:$B$50,MATCH(2,$M$47:$M$50,0))</f>
        <v>Croatia</v>
      </c>
      <c r="D65" s="58" t="str">
        <f>INDEX($B$47:$B$50,MATCH(3,$M$47:$M$50,0))</f>
        <v>Ghana</v>
      </c>
      <c r="E65" s="53" t="str">
        <f>INDEX($B$47:$B$50,MATCH(1,$Z$47:$Z$50,0))</f>
        <v>England</v>
      </c>
      <c r="F65" s="54" t="str">
        <f>INDEX($B$47:$B$50,MATCH(2,$Z$47:$Z$50,0))</f>
        <v>Croatia</v>
      </c>
      <c r="G65" s="55" t="str">
        <f>INDEX($B$47:$B$50,MATCH(3,$Z$47:$Z$50,0))</f>
        <v>Panama</v>
      </c>
      <c r="H65" s="50"/>
      <c r="I65" s="50">
        <f>INDEX($L$47:$L$50,MATCH(3,$M$47:$M$50,0))</f>
        <v>3100040.0010000002</v>
      </c>
      <c r="J65" s="50">
        <f>INDEX($Y$47:$Y$50,MATCH(3,$Z$47:$Z$50,0))</f>
        <v>100000.00199999999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zoomScaleNormal="100" workbookViewId="0">
      <selection activeCell="E27" sqref="E27"/>
    </sheetView>
  </sheetViews>
  <sheetFormatPr baseColWidth="10" defaultColWidth="8.6640625" defaultRowHeight="15" x14ac:dyDescent="0.2"/>
  <cols>
    <col min="1" max="1" width="10" customWidth="1"/>
    <col min="2" max="2" width="18" customWidth="1"/>
    <col min="3" max="3" width="10" customWidth="1"/>
    <col min="4" max="4" width="20" customWidth="1"/>
    <col min="5" max="5" width="12" customWidth="1"/>
    <col min="6" max="6" width="17.83203125" customWidth="1"/>
    <col min="7" max="7" width="20" customWidth="1"/>
    <col min="8" max="8" width="12" customWidth="1"/>
    <col min="9" max="9" width="10" customWidth="1"/>
  </cols>
  <sheetData>
    <row r="1" spans="1:9" x14ac:dyDescent="0.2">
      <c r="A1" s="4" t="s">
        <v>138</v>
      </c>
    </row>
    <row r="2" spans="1:9" x14ac:dyDescent="0.2">
      <c r="A2" s="1" t="s">
        <v>74</v>
      </c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</row>
    <row r="3" spans="1:9" x14ac:dyDescent="0.2">
      <c r="A3" s="2" t="s">
        <v>4</v>
      </c>
      <c r="B3" s="3" t="str">
        <f>Standings!D54</f>
        <v>Czechia</v>
      </c>
      <c r="C3" s="2">
        <f>Standings!I54</f>
        <v>3100030.0010000002</v>
      </c>
      <c r="D3" s="2">
        <f t="shared" ref="D3:D14" si="0">RANK(C3,$C$3:$C$14,0)</f>
        <v>4</v>
      </c>
      <c r="E3" s="2" t="str">
        <f t="shared" ref="E3:E14" si="1">IF(D3&lt;=8,"Q","—")</f>
        <v>Q</v>
      </c>
      <c r="F3" s="3" t="str">
        <f>Standings!G54</f>
        <v>Czechia</v>
      </c>
      <c r="G3" s="2">
        <f>Standings!J54</f>
        <v>99010.001000000004</v>
      </c>
      <c r="H3" s="2">
        <f t="shared" ref="H3:H14" si="2">RANK(G3,$G$3:$G$14,0)</f>
        <v>10</v>
      </c>
      <c r="I3" s="2" t="str">
        <f t="shared" ref="I3:I14" si="3">IF(H3&lt;=8,"Q","—")</f>
        <v>—</v>
      </c>
    </row>
    <row r="4" spans="1:9" x14ac:dyDescent="0.2">
      <c r="A4" s="2" t="s">
        <v>13</v>
      </c>
      <c r="B4" s="3" t="str">
        <f>Standings!D55</f>
        <v>Canada</v>
      </c>
      <c r="C4" s="2">
        <f>Standings!I55</f>
        <v>4101030.0040000002</v>
      </c>
      <c r="D4" s="2">
        <f t="shared" si="0"/>
        <v>1</v>
      </c>
      <c r="E4" s="2" t="str">
        <f t="shared" si="1"/>
        <v>Q</v>
      </c>
      <c r="F4" s="3" t="str">
        <f>Standings!G55</f>
        <v>Qatar</v>
      </c>
      <c r="G4" s="2">
        <f>Standings!J55</f>
        <v>1100010.0020000001</v>
      </c>
      <c r="H4" s="2">
        <f t="shared" si="2"/>
        <v>3</v>
      </c>
      <c r="I4" s="2" t="str">
        <f t="shared" si="3"/>
        <v>Q</v>
      </c>
    </row>
    <row r="5" spans="1:9" x14ac:dyDescent="0.2">
      <c r="A5" s="2" t="s">
        <v>18</v>
      </c>
      <c r="B5" s="3" t="str">
        <f>Standings!D56</f>
        <v>Scotland</v>
      </c>
      <c r="C5" s="2">
        <f>Standings!I56</f>
        <v>3100040.0019999999</v>
      </c>
      <c r="D5" s="2">
        <f t="shared" si="0"/>
        <v>2</v>
      </c>
      <c r="E5" s="2" t="str">
        <f t="shared" si="1"/>
        <v>Q</v>
      </c>
      <c r="F5" s="3" t="str">
        <f>Standings!G56</f>
        <v>Morocco</v>
      </c>
      <c r="G5" s="2">
        <f>Standings!J56</f>
        <v>1100010.003</v>
      </c>
      <c r="H5" s="2">
        <f t="shared" si="2"/>
        <v>2</v>
      </c>
      <c r="I5" s="2" t="str">
        <f t="shared" si="3"/>
        <v>Q</v>
      </c>
    </row>
    <row r="6" spans="1:9" x14ac:dyDescent="0.2">
      <c r="A6" s="2" t="s">
        <v>25</v>
      </c>
      <c r="B6" s="3" t="str">
        <f>Standings!D57</f>
        <v>Australia</v>
      </c>
      <c r="C6" s="2">
        <f>Standings!I57</f>
        <v>3096020.0019999999</v>
      </c>
      <c r="D6" s="2">
        <f t="shared" si="0"/>
        <v>9</v>
      </c>
      <c r="E6" s="2" t="str">
        <f t="shared" si="1"/>
        <v>—</v>
      </c>
      <c r="F6" s="3" t="str">
        <f>Standings!G57</f>
        <v>Türkiye</v>
      </c>
      <c r="G6" s="2">
        <f>Standings!J57</f>
        <v>98000.001000000004</v>
      </c>
      <c r="H6" s="2">
        <f t="shared" si="2"/>
        <v>12</v>
      </c>
      <c r="I6" s="2" t="str">
        <f t="shared" si="3"/>
        <v>—</v>
      </c>
    </row>
    <row r="7" spans="1:9" x14ac:dyDescent="0.2">
      <c r="A7" s="2" t="s">
        <v>30</v>
      </c>
      <c r="B7" s="3" t="str">
        <f>Standings!D58</f>
        <v>Côte d'Ivoire</v>
      </c>
      <c r="C7" s="2">
        <f>Standings!I58</f>
        <v>1097010.0020000001</v>
      </c>
      <c r="D7" s="2">
        <f t="shared" si="0"/>
        <v>12</v>
      </c>
      <c r="E7" s="2" t="str">
        <f t="shared" si="1"/>
        <v>—</v>
      </c>
      <c r="F7" s="3" t="str">
        <f>Standings!G58</f>
        <v>Ecuador</v>
      </c>
      <c r="G7" s="2">
        <f>Standings!J58</f>
        <v>99000.002999999997</v>
      </c>
      <c r="H7" s="2">
        <f t="shared" si="2"/>
        <v>11</v>
      </c>
      <c r="I7" s="2" t="str">
        <f t="shared" si="3"/>
        <v>—</v>
      </c>
    </row>
    <row r="8" spans="1:9" x14ac:dyDescent="0.2">
      <c r="A8" s="2" t="s">
        <v>35</v>
      </c>
      <c r="B8" s="3" t="str">
        <f>Standings!D59</f>
        <v>Sweden</v>
      </c>
      <c r="C8" s="2">
        <f>Standings!I59</f>
        <v>3099030.0010000002</v>
      </c>
      <c r="D8" s="2">
        <f t="shared" si="0"/>
        <v>5</v>
      </c>
      <c r="E8" s="2" t="str">
        <f t="shared" si="1"/>
        <v>Q</v>
      </c>
      <c r="F8" s="3" t="str">
        <f>Standings!G59</f>
        <v>Japan</v>
      </c>
      <c r="G8" s="2">
        <f>Standings!J59</f>
        <v>1100020.003</v>
      </c>
      <c r="H8" s="2">
        <f t="shared" si="2"/>
        <v>1</v>
      </c>
      <c r="I8" s="2" t="str">
        <f t="shared" si="3"/>
        <v>Q</v>
      </c>
    </row>
    <row r="9" spans="1:9" x14ac:dyDescent="0.2">
      <c r="A9" s="2" t="s">
        <v>40</v>
      </c>
      <c r="B9" s="3" t="str">
        <f>Standings!D60</f>
        <v>Iran</v>
      </c>
      <c r="C9" s="2">
        <f>Standings!I60</f>
        <v>1097010.003</v>
      </c>
      <c r="D9" s="2">
        <f t="shared" si="0"/>
        <v>11</v>
      </c>
      <c r="E9" s="2" t="str">
        <f t="shared" si="1"/>
        <v>—</v>
      </c>
      <c r="F9" s="3" t="str">
        <f>Standings!G60</f>
        <v>Egypt</v>
      </c>
      <c r="G9" s="2">
        <f>Standings!J60</f>
        <v>100000.00199999999</v>
      </c>
      <c r="H9" s="2">
        <f t="shared" si="2"/>
        <v>4</v>
      </c>
      <c r="I9" s="2" t="str">
        <f t="shared" si="3"/>
        <v>Q</v>
      </c>
    </row>
    <row r="10" spans="1:9" x14ac:dyDescent="0.2">
      <c r="A10" s="2" t="s">
        <v>46</v>
      </c>
      <c r="B10" s="3" t="str">
        <f>Standings!D61</f>
        <v>Saudi Arabia</v>
      </c>
      <c r="C10" s="2">
        <f>Standings!I61</f>
        <v>3098030.0019999999</v>
      </c>
      <c r="D10" s="2">
        <f t="shared" si="0"/>
        <v>7</v>
      </c>
      <c r="E10" s="2" t="str">
        <f t="shared" si="1"/>
        <v>Q</v>
      </c>
      <c r="F10" s="3" t="str">
        <f>Standings!G61</f>
        <v>Saudi Arabia</v>
      </c>
      <c r="G10" s="2">
        <f>Standings!J61</f>
        <v>100000.00199999999</v>
      </c>
      <c r="H10" s="2">
        <f t="shared" si="2"/>
        <v>4</v>
      </c>
      <c r="I10" s="2" t="str">
        <f t="shared" si="3"/>
        <v>Q</v>
      </c>
    </row>
    <row r="11" spans="1:9" x14ac:dyDescent="0.2">
      <c r="A11" s="2" t="s">
        <v>51</v>
      </c>
      <c r="B11" s="3" t="str">
        <f>Standings!D62</f>
        <v>Senegal</v>
      </c>
      <c r="C11" s="2">
        <f>Standings!I62</f>
        <v>3097020.003</v>
      </c>
      <c r="D11" s="2">
        <f t="shared" si="0"/>
        <v>8</v>
      </c>
      <c r="E11" s="2" t="str">
        <f t="shared" si="1"/>
        <v>Q</v>
      </c>
      <c r="F11" s="3" t="str">
        <f>Standings!G62</f>
        <v>Norway</v>
      </c>
      <c r="G11" s="2">
        <f>Standings!J62</f>
        <v>100000.00199999999</v>
      </c>
      <c r="H11" s="2">
        <f t="shared" si="2"/>
        <v>4</v>
      </c>
      <c r="I11" s="2" t="str">
        <f t="shared" si="3"/>
        <v>Q</v>
      </c>
    </row>
    <row r="12" spans="1:9" x14ac:dyDescent="0.2">
      <c r="A12" s="2" t="s">
        <v>56</v>
      </c>
      <c r="B12" s="3" t="str">
        <f>Standings!D63</f>
        <v>Algeria</v>
      </c>
      <c r="C12" s="2">
        <f>Standings!I63</f>
        <v>1097030.0020000001</v>
      </c>
      <c r="D12" s="2">
        <f t="shared" si="0"/>
        <v>10</v>
      </c>
      <c r="E12" s="2" t="str">
        <f t="shared" si="1"/>
        <v>—</v>
      </c>
      <c r="F12" s="3" t="str">
        <f>Standings!G63</f>
        <v>Algeria</v>
      </c>
      <c r="G12" s="2">
        <f>Standings!J63</f>
        <v>100000.00199999999</v>
      </c>
      <c r="H12" s="2">
        <f t="shared" si="2"/>
        <v>4</v>
      </c>
      <c r="I12" s="2" t="str">
        <f t="shared" si="3"/>
        <v>Q</v>
      </c>
    </row>
    <row r="13" spans="1:9" x14ac:dyDescent="0.2">
      <c r="A13" s="2" t="s">
        <v>61</v>
      </c>
      <c r="B13" s="3" t="str">
        <f>Standings!D64</f>
        <v>DR Congo</v>
      </c>
      <c r="C13" s="2">
        <f>Standings!I64</f>
        <v>3099030.0010000002</v>
      </c>
      <c r="D13" s="2">
        <f t="shared" si="0"/>
        <v>5</v>
      </c>
      <c r="E13" s="2" t="str">
        <f t="shared" si="1"/>
        <v>Q</v>
      </c>
      <c r="F13" s="3" t="str">
        <f>Standings!G64</f>
        <v>Uzbekistan</v>
      </c>
      <c r="G13" s="2">
        <f>Standings!J64</f>
        <v>100000.00199999999</v>
      </c>
      <c r="H13" s="2">
        <f t="shared" si="2"/>
        <v>4</v>
      </c>
      <c r="I13" s="2" t="str">
        <f t="shared" si="3"/>
        <v>Q</v>
      </c>
    </row>
    <row r="14" spans="1:9" x14ac:dyDescent="0.2">
      <c r="A14" s="2" t="s">
        <v>66</v>
      </c>
      <c r="B14" s="3" t="str">
        <f>Standings!D65</f>
        <v>Ghana</v>
      </c>
      <c r="C14" s="2">
        <f>Standings!I65</f>
        <v>3100040.0010000002</v>
      </c>
      <c r="D14" s="2">
        <f t="shared" si="0"/>
        <v>3</v>
      </c>
      <c r="E14" s="2" t="str">
        <f t="shared" si="1"/>
        <v>Q</v>
      </c>
      <c r="F14" s="3" t="str">
        <f>Standings!G65</f>
        <v>Panama</v>
      </c>
      <c r="G14" s="2">
        <f>Standings!J65</f>
        <v>100000.00199999999</v>
      </c>
      <c r="H14" s="2">
        <f t="shared" si="2"/>
        <v>4</v>
      </c>
      <c r="I14" s="2" t="str">
        <f t="shared" si="3"/>
        <v>Q</v>
      </c>
    </row>
    <row r="16" spans="1:9" x14ac:dyDescent="0.2">
      <c r="A16" s="4" t="s">
        <v>147</v>
      </c>
    </row>
    <row r="17" spans="1:8" x14ac:dyDescent="0.2">
      <c r="A17" s="1" t="s">
        <v>148</v>
      </c>
      <c r="B17" s="1" t="s">
        <v>149</v>
      </c>
      <c r="C17" s="1" t="s">
        <v>150</v>
      </c>
      <c r="D17" s="1" t="s">
        <v>151</v>
      </c>
      <c r="E17" s="1" t="s">
        <v>152</v>
      </c>
      <c r="F17" s="1" t="s">
        <v>153</v>
      </c>
      <c r="G17" s="1" t="s">
        <v>154</v>
      </c>
      <c r="H17" s="1" t="s">
        <v>155</v>
      </c>
    </row>
    <row r="18" spans="1:8" x14ac:dyDescent="0.2">
      <c r="A18" s="2" t="s">
        <v>156</v>
      </c>
      <c r="B18" s="2" t="s">
        <v>157</v>
      </c>
      <c r="C18" s="6" t="s">
        <v>4</v>
      </c>
      <c r="D18" s="3" t="str">
        <f>IF($C18="","",VLOOKUP($C18,Standings!$A$54:$G$65,4,FALSE()))</f>
        <v>Czechia</v>
      </c>
      <c r="E18" s="2" t="str">
        <f>IF($C18="","",IF(COUNTIF($C$18:$C$25,$C18)&gt;1,"DUP",IF(ISNUMBER(SEARCH($C18,$B18))=FALSE(),"NOT IN SET",IF(VLOOKUP($C18,'3rd Place + Alloc'!$A$3:$E$14,5,FALSE())="Q","OK","NOT TOP8"))))</f>
        <v>OK</v>
      </c>
      <c r="F18" s="6"/>
      <c r="G18" s="3" t="str">
        <f>IF($F18="","",VLOOKUP($F18,Standings!$A$54:$G$65,7,FALSE()))</f>
        <v/>
      </c>
      <c r="H18" s="2" t="str">
        <f>IF($F18="","",IF(COUNTIF($F$18:$F$25,$F18)&gt;1,"DUP",IF(ISNUMBER(SEARCH($F18,$B18))=FALSE(),"NOT IN SET",IF(VLOOKUP($F18,'3rd Place + Alloc'!$A$3:$I$14,9,FALSE())="Q","OK","NOT TOP8"))))</f>
        <v/>
      </c>
    </row>
    <row r="19" spans="1:8" x14ac:dyDescent="0.2">
      <c r="A19" s="2" t="s">
        <v>158</v>
      </c>
      <c r="B19" s="2" t="s">
        <v>159</v>
      </c>
      <c r="C19" s="6" t="s">
        <v>18</v>
      </c>
      <c r="D19" s="3" t="str">
        <f>IF($C19="","",VLOOKUP($C19,Standings!$A$54:$G$65,4,FALSE()))</f>
        <v>Scotland</v>
      </c>
      <c r="E19" s="2" t="str">
        <f>IF($C19="","",IF(COUNTIF($C$18:$C$25,$C19)&gt;1,"DUP",IF(ISNUMBER(SEARCH($C19,$B19))=FALSE(),"NOT IN SET",IF(VLOOKUP($C19,'3rd Place + Alloc'!$A$3:$E$14,5,FALSE())="Q","OK","NOT TOP8"))))</f>
        <v>OK</v>
      </c>
      <c r="F19" s="6"/>
      <c r="G19" s="3" t="str">
        <f>IF($F19="","",VLOOKUP($F19,Standings!$A$54:$G$65,7,FALSE()))</f>
        <v/>
      </c>
      <c r="H19" s="2" t="str">
        <f>IF($F19="","",IF(COUNTIF($F$18:$F$25,$F19)&gt;1,"DUP",IF(ISNUMBER(SEARCH($F19,$B19))=FALSE(),"NOT IN SET",IF(VLOOKUP($F19,'3rd Place + Alloc'!$A$3:$I$14,9,FALSE())="Q","OK","NOT TOP8"))))</f>
        <v/>
      </c>
    </row>
    <row r="20" spans="1:8" x14ac:dyDescent="0.2">
      <c r="A20" s="2" t="s">
        <v>160</v>
      </c>
      <c r="B20" s="2" t="s">
        <v>161</v>
      </c>
      <c r="C20" s="6" t="s">
        <v>46</v>
      </c>
      <c r="D20" s="3" t="str">
        <f>IF($C20="","",VLOOKUP($C20,Standings!$A$54:$G$65,4,FALSE()))</f>
        <v>Saudi Arabia</v>
      </c>
      <c r="E20" s="2" t="str">
        <f>IF($C20="","",IF(COUNTIF($C$18:$C$25,$C20)&gt;1,"DUP",IF(ISNUMBER(SEARCH($C20,$B20))=FALSE(),"NOT IN SET",IF(VLOOKUP($C20,'3rd Place + Alloc'!$A$3:$E$14,5,FALSE())="Q","OK","NOT TOP8"))))</f>
        <v>OK</v>
      </c>
      <c r="F20" s="6"/>
      <c r="G20" s="3" t="str">
        <f>IF($F20="","",VLOOKUP($F20,Standings!$A$54:$G$65,7,FALSE()))</f>
        <v/>
      </c>
      <c r="H20" s="2" t="str">
        <f>IF($F20="","",IF(COUNTIF($F$18:$F$25,$F20)&gt;1,"DUP",IF(ISNUMBER(SEARCH($F20,$B20))=FALSE(),"NOT IN SET",IF(VLOOKUP($F20,'3rd Place + Alloc'!$A$3:$I$14,9,FALSE())="Q","OK","NOT TOP8"))))</f>
        <v/>
      </c>
    </row>
    <row r="21" spans="1:8" x14ac:dyDescent="0.2">
      <c r="A21" s="2" t="s">
        <v>162</v>
      </c>
      <c r="B21" s="2" t="s">
        <v>163</v>
      </c>
      <c r="C21" s="6" t="s">
        <v>61</v>
      </c>
      <c r="D21" s="3" t="str">
        <f>IF($C21="","",VLOOKUP($C21,Standings!$A$54:$G$65,4,FALSE()))</f>
        <v>DR Congo</v>
      </c>
      <c r="E21" s="2" t="str">
        <f>IF($C21="","",IF(COUNTIF($C$18:$C$25,$C21)&gt;1,"DUP",IF(ISNUMBER(SEARCH($C21,$B21))=FALSE(),"NOT IN SET",IF(VLOOKUP($C21,'3rd Place + Alloc'!$A$3:$E$14,5,FALSE())="Q","OK","NOT TOP8"))))</f>
        <v>OK</v>
      </c>
      <c r="F21" s="6"/>
      <c r="G21" s="3" t="str">
        <f>IF($F21="","",VLOOKUP($F21,Standings!$A$54:$G$65,7,FALSE()))</f>
        <v/>
      </c>
      <c r="H21" s="2" t="str">
        <f>IF($F21="","",IF(COUNTIF($F$18:$F$25,$F21)&gt;1,"DUP",IF(ISNUMBER(SEARCH($F21,$B21))=FALSE(),"NOT IN SET",IF(VLOOKUP($F21,'3rd Place + Alloc'!$A$3:$I$14,9,FALSE())="Q","OK","NOT TOP8"))))</f>
        <v/>
      </c>
    </row>
    <row r="22" spans="1:8" x14ac:dyDescent="0.2">
      <c r="A22" s="2" t="s">
        <v>164</v>
      </c>
      <c r="B22" s="2" t="s">
        <v>165</v>
      </c>
      <c r="C22" s="6" t="s">
        <v>13</v>
      </c>
      <c r="D22" s="3" t="str">
        <f>IF($C22="","",VLOOKUP($C22,Standings!$A$54:$G$65,4,FALSE()))</f>
        <v>Canada</v>
      </c>
      <c r="E22" s="2" t="str">
        <f>IF($C22="","",IF(COUNTIF($C$18:$C$25,$C22)&gt;1,"DUP",IF(ISNUMBER(SEARCH($C22,$B22))=FALSE(),"NOT IN SET",IF(VLOOKUP($C22,'3rd Place + Alloc'!$A$3:$E$14,5,FALSE())="Q","OK","NOT TOP8"))))</f>
        <v>OK</v>
      </c>
      <c r="F22" s="6"/>
      <c r="G22" s="3" t="str">
        <f>IF($F22="","",VLOOKUP($F22,Standings!$A$54:$G$65,7,FALSE()))</f>
        <v/>
      </c>
      <c r="H22" s="2" t="str">
        <f>IF($F22="","",IF(COUNTIF($F$18:$F$25,$F22)&gt;1,"DUP",IF(ISNUMBER(SEARCH($F22,$B22))=FALSE(),"NOT IN SET",IF(VLOOKUP($F22,'3rd Place + Alloc'!$A$3:$I$14,9,FALSE())="Q","OK","NOT TOP8"))))</f>
        <v/>
      </c>
    </row>
    <row r="23" spans="1:8" x14ac:dyDescent="0.2">
      <c r="A23" s="2" t="s">
        <v>166</v>
      </c>
      <c r="B23" s="2" t="s">
        <v>167</v>
      </c>
      <c r="C23" s="6" t="s">
        <v>51</v>
      </c>
      <c r="D23" s="3" t="str">
        <f>IF($C23="","",VLOOKUP($C23,Standings!$A$54:$G$65,4,FALSE()))</f>
        <v>Senegal</v>
      </c>
      <c r="E23" s="2" t="str">
        <f>IF($C23="","",IF(COUNTIF($C$18:$C$25,$C23)&gt;1,"DUP",IF(ISNUMBER(SEARCH($C23,$B23))=FALSE(),"NOT IN SET",IF(VLOOKUP($C23,'3rd Place + Alloc'!$A$3:$E$14,5,FALSE())="Q","OK","NOT TOP8"))))</f>
        <v>OK</v>
      </c>
      <c r="F23" s="6"/>
      <c r="G23" s="3" t="str">
        <f>IF($F23="","",VLOOKUP($F23,Standings!$A$54:$G$65,7,FALSE()))</f>
        <v/>
      </c>
      <c r="H23" s="2" t="str">
        <f>IF($F23="","",IF(COUNTIF($F$18:$F$25,$F23)&gt;1,"DUP",IF(ISNUMBER(SEARCH($F23,$B23))=FALSE(),"NOT IN SET",IF(VLOOKUP($F23,'3rd Place + Alloc'!$A$3:$I$14,9,FALSE())="Q","OK","NOT TOP8"))))</f>
        <v/>
      </c>
    </row>
    <row r="24" spans="1:8" x14ac:dyDescent="0.2">
      <c r="A24" s="2" t="s">
        <v>168</v>
      </c>
      <c r="B24" s="2" t="s">
        <v>169</v>
      </c>
      <c r="C24" s="6" t="s">
        <v>35</v>
      </c>
      <c r="D24" s="3" t="str">
        <f>IF($C24="","",VLOOKUP($C24,Standings!$A$54:$G$65,4,FALSE()))</f>
        <v>Sweden</v>
      </c>
      <c r="E24" s="2" t="str">
        <f>IF($C24="","",IF(COUNTIF($C$18:$C$25,$C24)&gt;1,"DUP",IF(ISNUMBER(SEARCH($C24,$B24))=FALSE(),"NOT IN SET",IF(VLOOKUP($C24,'3rd Place + Alloc'!$A$3:$E$14,5,FALSE())="Q","OK","NOT TOP8"))))</f>
        <v>OK</v>
      </c>
      <c r="F24" s="6"/>
      <c r="G24" s="3" t="str">
        <f>IF($F24="","",VLOOKUP($F24,Standings!$A$54:$G$65,7,FALSE()))</f>
        <v/>
      </c>
      <c r="H24" s="2" t="str">
        <f>IF($F24="","",IF(COUNTIF($F$18:$F$25,$F24)&gt;1,"DUP",IF(ISNUMBER(SEARCH($F24,$B24))=FALSE(),"NOT IN SET",IF(VLOOKUP($F24,'3rd Place + Alloc'!$A$3:$I$14,9,FALSE())="Q","OK","NOT TOP8"))))</f>
        <v/>
      </c>
    </row>
    <row r="25" spans="1:8" x14ac:dyDescent="0.2">
      <c r="A25" s="2" t="s">
        <v>170</v>
      </c>
      <c r="B25" s="2" t="s">
        <v>171</v>
      </c>
      <c r="C25" s="6" t="s">
        <v>66</v>
      </c>
      <c r="D25" s="3" t="str">
        <f>IF($C25="","",VLOOKUP($C25,Standings!$A$54:$G$65,4,FALSE()))</f>
        <v>Ghana</v>
      </c>
      <c r="E25" s="2" t="str">
        <f>IF($C25="","",IF(COUNTIF($C$18:$C$25,$C25)&gt;1,"DUP",IF(ISNUMBER(SEARCH($C25,$B25))=FALSE(),"NOT IN SET",IF(VLOOKUP($C25,'3rd Place + Alloc'!$A$3:$E$14,5,FALSE())="Q","OK","NOT TOP8"))))</f>
        <v>OK</v>
      </c>
      <c r="F25" s="6"/>
      <c r="G25" s="3" t="str">
        <f>IF($F25="","",VLOOKUP($F25,Standings!$A$54:$G$65,7,FALSE()))</f>
        <v/>
      </c>
      <c r="H25" s="2" t="str">
        <f>IF($F25="","",IF(COUNTIF($F$18:$F$25,$F25)&gt;1,"DUP",IF(ISNUMBER(SEARCH($F25,$B25))=FALSE(),"NOT IN SET",IF(VLOOKUP($F25,'3rd Place + Alloc'!$A$3:$I$14,9,FALSE())="Q","OK","NOT TOP8"))))</f>
        <v/>
      </c>
    </row>
  </sheetData>
  <dataValidations count="8">
    <dataValidation type="list" allowBlank="1" sqref="C18 F18" xr:uid="{00000000-0002-0000-0400-000000000000}">
      <formula1>"A,B,C,D,F"</formula1>
      <formula2>0</formula2>
    </dataValidation>
    <dataValidation type="list" allowBlank="1" sqref="C19 F19" xr:uid="{00000000-0002-0000-0400-000002000000}">
      <formula1>"C,D,F,G,H"</formula1>
      <formula2>0</formula2>
    </dataValidation>
    <dataValidation type="list" allowBlank="1" sqref="C20 F20" xr:uid="{00000000-0002-0000-0400-000004000000}">
      <formula1>"C,E,F,H,I"</formula1>
      <formula2>0</formula2>
    </dataValidation>
    <dataValidation type="list" allowBlank="1" sqref="C21 F21" xr:uid="{00000000-0002-0000-0400-000006000000}">
      <formula1>"E,H,I,J,K"</formula1>
      <formula2>0</formula2>
    </dataValidation>
    <dataValidation type="list" allowBlank="1" sqref="C22 F22" xr:uid="{00000000-0002-0000-0400-000008000000}">
      <formula1>"B,E,F,I,J"</formula1>
      <formula2>0</formula2>
    </dataValidation>
    <dataValidation type="list" allowBlank="1" sqref="C23 F23" xr:uid="{00000000-0002-0000-0400-00000A000000}">
      <formula1>"A,E,H,I,J"</formula1>
      <formula2>0</formula2>
    </dataValidation>
    <dataValidation type="list" allowBlank="1" sqref="C24 F24" xr:uid="{00000000-0002-0000-0400-00000C000000}">
      <formula1>"E,F,G,I,J"</formula1>
      <formula2>0</formula2>
    </dataValidation>
    <dataValidation type="list" allowBlank="1" sqref="C25 F25" xr:uid="{00000000-0002-0000-0400-00000E000000}">
      <formula1>"D,E,I,J,L"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tabSelected="1" zoomScale="139" zoomScaleNormal="100" workbookViewId="0">
      <pane ySplit="2" topLeftCell="A3" activePane="bottomLeft" state="frozen"/>
      <selection pane="bottomLeft" activeCell="O10" sqref="O10"/>
    </sheetView>
  </sheetViews>
  <sheetFormatPr baseColWidth="10" defaultColWidth="8.6640625" defaultRowHeight="15" x14ac:dyDescent="0.2"/>
  <cols>
    <col min="1" max="1" width="4" customWidth="1"/>
    <col min="2" max="2" width="13" customWidth="1"/>
    <col min="3" max="3" width="7" customWidth="1"/>
    <col min="4" max="5" width="15" customWidth="1"/>
    <col min="6" max="7" width="20" customWidth="1"/>
    <col min="8" max="10" width="4" customWidth="1"/>
    <col min="11" max="12" width="18" customWidth="1"/>
    <col min="13" max="13" width="2" customWidth="1"/>
    <col min="14" max="15" width="20" customWidth="1"/>
    <col min="16" max="18" width="4" customWidth="1"/>
    <col min="19" max="20" width="18" customWidth="1"/>
    <col min="21" max="21" width="5" customWidth="1"/>
  </cols>
  <sheetData>
    <row r="1" spans="1:21" x14ac:dyDescent="0.2">
      <c r="A1" s="4" t="s">
        <v>172</v>
      </c>
    </row>
    <row r="2" spans="1:21" x14ac:dyDescent="0.2">
      <c r="A2" s="5" t="s">
        <v>72</v>
      </c>
      <c r="B2" s="5" t="s">
        <v>173</v>
      </c>
      <c r="C2" s="5" t="s">
        <v>73</v>
      </c>
      <c r="D2" s="5" t="s">
        <v>174</v>
      </c>
      <c r="E2" s="5" t="s">
        <v>175</v>
      </c>
      <c r="F2" s="5" t="s">
        <v>176</v>
      </c>
      <c r="G2" s="5" t="s">
        <v>177</v>
      </c>
      <c r="H2" s="5" t="s">
        <v>46</v>
      </c>
      <c r="I2" s="5" t="s">
        <v>4</v>
      </c>
      <c r="J2" s="5" t="s">
        <v>178</v>
      </c>
      <c r="K2" s="5" t="s">
        <v>179</v>
      </c>
      <c r="L2" s="5" t="s">
        <v>180</v>
      </c>
      <c r="N2" s="5" t="s">
        <v>181</v>
      </c>
      <c r="O2" s="5" t="s">
        <v>182</v>
      </c>
      <c r="P2" s="5" t="s">
        <v>46</v>
      </c>
      <c r="Q2" s="5" t="s">
        <v>4</v>
      </c>
      <c r="R2" s="5" t="s">
        <v>178</v>
      </c>
      <c r="S2" s="5" t="s">
        <v>183</v>
      </c>
      <c r="T2" s="5" t="s">
        <v>184</v>
      </c>
      <c r="U2" s="5" t="s">
        <v>185</v>
      </c>
    </row>
    <row r="3" spans="1:21" x14ac:dyDescent="0.2">
      <c r="A3" s="2">
        <v>73</v>
      </c>
      <c r="B3" s="2" t="s">
        <v>186</v>
      </c>
      <c r="C3" s="2" t="s">
        <v>187</v>
      </c>
      <c r="D3" s="3" t="s">
        <v>188</v>
      </c>
      <c r="E3" s="3" t="s">
        <v>189</v>
      </c>
      <c r="F3" s="3" t="str">
        <f>Standings!C54</f>
        <v>Mexico</v>
      </c>
      <c r="G3" s="3" t="str">
        <f>Standings!C55</f>
        <v>Switzerland</v>
      </c>
      <c r="H3" s="6">
        <v>2</v>
      </c>
      <c r="I3" s="6">
        <v>1</v>
      </c>
      <c r="J3" s="6"/>
      <c r="K3" s="3" t="str">
        <f t="shared" ref="K3:K34" si="0">IF(AND(ISNUMBER(H3),ISNUMBER(I3)),IF(H3&gt;I3,F3,IF(I3&gt;H3,G3,IF(J3="H",F3,IF(J3="A",G3,"")))),"")</f>
        <v>Mexico</v>
      </c>
      <c r="L3" s="3" t="str">
        <f t="shared" ref="L3:L34" si="1">IF(AND(ISNUMBER(H3),ISNUMBER(I3)),IF(H3&gt;I3,G3,IF(I3&gt;H3,F3,IF(J3="H",G3,IF(J3="A",F3,"")))),"")</f>
        <v>Switzerland</v>
      </c>
      <c r="N3" s="3" t="str">
        <f>Standings!F54</f>
        <v>South Korea</v>
      </c>
      <c r="O3" s="3" t="str">
        <f>Standings!F55</f>
        <v>Switzerland</v>
      </c>
      <c r="P3" s="6"/>
      <c r="Q3" s="6"/>
      <c r="R3" s="6"/>
      <c r="S3" s="3" t="str">
        <f t="shared" ref="S3:S34" si="2">IF(AND(ISNUMBER(P3),ISNUMBER(Q3)),IF(P3&gt;Q3,N3,IF(Q3&gt;P3,O3,IF(R3="H",N3,IF(R3="A",O3,"")))),"")</f>
        <v/>
      </c>
      <c r="T3" s="3" t="str">
        <f t="shared" ref="T3:T34" si="3">IF(AND(ISNUMBER(P3),ISNUMBER(Q3)),IF(P3&gt;Q3,O3,IF(Q3&gt;P3,N3,IF(R3="H",O3,IF(R3="A",N3,"")))),"")</f>
        <v/>
      </c>
      <c r="U3" s="2" t="str">
        <f t="shared" ref="U3:U34" si="4">IF(OR(K3="",S3=""),"",IF(K3=S3,"✓","✗"))</f>
        <v/>
      </c>
    </row>
    <row r="4" spans="1:21" x14ac:dyDescent="0.2">
      <c r="A4" s="2">
        <v>74</v>
      </c>
      <c r="B4" s="2" t="s">
        <v>186</v>
      </c>
      <c r="C4" s="2" t="s">
        <v>190</v>
      </c>
      <c r="D4" s="3" t="s">
        <v>191</v>
      </c>
      <c r="E4" s="3" t="s">
        <v>192</v>
      </c>
      <c r="F4" s="3" t="str">
        <f>Standings!B58</f>
        <v>Ecuador</v>
      </c>
      <c r="G4" s="3" t="str">
        <f>'3rd Place + Alloc'!D18</f>
        <v>Czechia</v>
      </c>
      <c r="H4" s="6">
        <v>1</v>
      </c>
      <c r="I4" s="6">
        <v>1</v>
      </c>
      <c r="J4" s="6" t="s">
        <v>46</v>
      </c>
      <c r="K4" s="3" t="str">
        <f t="shared" si="0"/>
        <v>Ecuador</v>
      </c>
      <c r="L4" s="3" t="str">
        <f t="shared" si="1"/>
        <v>Czechia</v>
      </c>
      <c r="N4" s="3" t="str">
        <f>Standings!E58</f>
        <v>Germany</v>
      </c>
      <c r="O4" s="3" t="str">
        <f>'3rd Place + Alloc'!G18</f>
        <v/>
      </c>
      <c r="P4" s="6"/>
      <c r="Q4" s="6"/>
      <c r="R4" s="6"/>
      <c r="S4" s="3" t="str">
        <f t="shared" si="2"/>
        <v/>
      </c>
      <c r="T4" s="3" t="str">
        <f t="shared" si="3"/>
        <v/>
      </c>
      <c r="U4" s="2" t="str">
        <f t="shared" si="4"/>
        <v/>
      </c>
    </row>
    <row r="5" spans="1:21" x14ac:dyDescent="0.2">
      <c r="A5" s="2">
        <v>75</v>
      </c>
      <c r="B5" s="2" t="s">
        <v>186</v>
      </c>
      <c r="C5" s="2" t="s">
        <v>190</v>
      </c>
      <c r="D5" s="3" t="s">
        <v>193</v>
      </c>
      <c r="E5" s="3" t="s">
        <v>194</v>
      </c>
      <c r="F5" s="3" t="str">
        <f>Standings!B59</f>
        <v>Netherlands</v>
      </c>
      <c r="G5" s="3" t="str">
        <f>Standings!C56</f>
        <v>Morocco</v>
      </c>
      <c r="H5" s="6">
        <v>2</v>
      </c>
      <c r="I5" s="6">
        <v>2</v>
      </c>
      <c r="J5" s="6" t="s">
        <v>46</v>
      </c>
      <c r="K5" s="3" t="str">
        <f t="shared" si="0"/>
        <v>Netherlands</v>
      </c>
      <c r="L5" s="3" t="str">
        <f t="shared" si="1"/>
        <v>Morocco</v>
      </c>
      <c r="N5" s="3" t="str">
        <f>Standings!E59</f>
        <v>Sweden</v>
      </c>
      <c r="O5" s="3" t="str">
        <f>Standings!F56</f>
        <v>Brazil</v>
      </c>
      <c r="P5" s="6"/>
      <c r="Q5" s="6"/>
      <c r="R5" s="6"/>
      <c r="S5" s="3" t="str">
        <f t="shared" si="2"/>
        <v/>
      </c>
      <c r="T5" s="3" t="str">
        <f t="shared" si="3"/>
        <v/>
      </c>
      <c r="U5" s="2" t="str">
        <f t="shared" si="4"/>
        <v/>
      </c>
    </row>
    <row r="6" spans="1:21" x14ac:dyDescent="0.2">
      <c r="A6" s="2">
        <v>76</v>
      </c>
      <c r="B6" s="2" t="s">
        <v>186</v>
      </c>
      <c r="C6" s="2" t="s">
        <v>190</v>
      </c>
      <c r="D6" s="3" t="s">
        <v>195</v>
      </c>
      <c r="E6" s="3" t="s">
        <v>196</v>
      </c>
      <c r="F6" s="3" t="str">
        <f>Standings!B56</f>
        <v>Brazil</v>
      </c>
      <c r="G6" s="3" t="str">
        <f>Standings!C59</f>
        <v>Japan</v>
      </c>
      <c r="H6" s="6">
        <v>2</v>
      </c>
      <c r="I6" s="6">
        <v>1</v>
      </c>
      <c r="J6" s="6"/>
      <c r="K6" s="3" t="str">
        <f t="shared" si="0"/>
        <v>Brazil</v>
      </c>
      <c r="L6" s="3" t="str">
        <f t="shared" si="1"/>
        <v>Japan</v>
      </c>
      <c r="N6" s="3" t="str">
        <f>Standings!E56</f>
        <v>Scotland</v>
      </c>
      <c r="O6" s="3" t="str">
        <f>Standings!F59</f>
        <v>Netherlands</v>
      </c>
      <c r="P6" s="6"/>
      <c r="Q6" s="6"/>
      <c r="R6" s="6"/>
      <c r="S6" s="3" t="str">
        <f t="shared" si="2"/>
        <v/>
      </c>
      <c r="T6" s="3" t="str">
        <f t="shared" si="3"/>
        <v/>
      </c>
      <c r="U6" s="2" t="str">
        <f t="shared" si="4"/>
        <v/>
      </c>
    </row>
    <row r="7" spans="1:21" x14ac:dyDescent="0.2">
      <c r="A7" s="2">
        <v>77</v>
      </c>
      <c r="B7" s="2" t="s">
        <v>186</v>
      </c>
      <c r="C7" s="2" t="s">
        <v>197</v>
      </c>
      <c r="D7" s="3" t="s">
        <v>198</v>
      </c>
      <c r="E7" s="3" t="s">
        <v>199</v>
      </c>
      <c r="F7" s="3" t="str">
        <f>Standings!B62</f>
        <v>France</v>
      </c>
      <c r="G7" s="3" t="str">
        <f>'3rd Place + Alloc'!D19</f>
        <v>Scotland</v>
      </c>
      <c r="H7" s="6">
        <v>3</v>
      </c>
      <c r="I7" s="6">
        <v>1</v>
      </c>
      <c r="J7" s="6"/>
      <c r="K7" s="3" t="str">
        <f t="shared" si="0"/>
        <v>France</v>
      </c>
      <c r="L7" s="3" t="str">
        <f t="shared" si="1"/>
        <v>Scotland</v>
      </c>
      <c r="N7" s="3" t="str">
        <f>Standings!E62</f>
        <v>France</v>
      </c>
      <c r="O7" s="3" t="str">
        <f>'3rd Place + Alloc'!G19</f>
        <v/>
      </c>
      <c r="P7" s="6"/>
      <c r="Q7" s="6"/>
      <c r="R7" s="6"/>
      <c r="S7" s="3" t="str">
        <f t="shared" si="2"/>
        <v/>
      </c>
      <c r="T7" s="3" t="str">
        <f t="shared" si="3"/>
        <v/>
      </c>
      <c r="U7" s="2" t="str">
        <f t="shared" si="4"/>
        <v/>
      </c>
    </row>
    <row r="8" spans="1:21" x14ac:dyDescent="0.2">
      <c r="A8" s="2">
        <v>78</v>
      </c>
      <c r="B8" s="2" t="s">
        <v>186</v>
      </c>
      <c r="C8" s="2" t="s">
        <v>197</v>
      </c>
      <c r="D8" s="3" t="s">
        <v>200</v>
      </c>
      <c r="E8" s="3" t="s">
        <v>201</v>
      </c>
      <c r="F8" s="3" t="str">
        <f>Standings!C58</f>
        <v>Germany</v>
      </c>
      <c r="G8" s="3" t="str">
        <f>Standings!C62</f>
        <v>Norway</v>
      </c>
      <c r="H8" s="6">
        <v>1</v>
      </c>
      <c r="I8" s="6">
        <v>2</v>
      </c>
      <c r="J8" s="6"/>
      <c r="K8" s="3" t="str">
        <f t="shared" si="0"/>
        <v>Norway</v>
      </c>
      <c r="L8" s="3" t="str">
        <f t="shared" si="1"/>
        <v>Germany</v>
      </c>
      <c r="N8" s="3" t="str">
        <f>Standings!F58</f>
        <v>Côte d'Ivoire</v>
      </c>
      <c r="O8" s="3" t="str">
        <f>Standings!F62</f>
        <v>Senegal</v>
      </c>
      <c r="P8" s="6"/>
      <c r="Q8" s="6"/>
      <c r="R8" s="6"/>
      <c r="S8" s="3" t="str">
        <f t="shared" si="2"/>
        <v/>
      </c>
      <c r="T8" s="3" t="str">
        <f t="shared" si="3"/>
        <v/>
      </c>
      <c r="U8" s="2" t="str">
        <f t="shared" si="4"/>
        <v/>
      </c>
    </row>
    <row r="9" spans="1:21" x14ac:dyDescent="0.2">
      <c r="A9" s="2">
        <v>79</v>
      </c>
      <c r="B9" s="2" t="s">
        <v>186</v>
      </c>
      <c r="C9" s="2" t="s">
        <v>197</v>
      </c>
      <c r="D9" s="3" t="s">
        <v>202</v>
      </c>
      <c r="E9" s="3" t="s">
        <v>203</v>
      </c>
      <c r="F9" s="3" t="str">
        <f>Standings!B54</f>
        <v>South Korea</v>
      </c>
      <c r="G9" s="3" t="str">
        <f>'3rd Place + Alloc'!D20</f>
        <v>Saudi Arabia</v>
      </c>
      <c r="H9" s="6">
        <v>2</v>
      </c>
      <c r="I9" s="6">
        <v>1</v>
      </c>
      <c r="J9" s="6"/>
      <c r="K9" s="3" t="str">
        <f t="shared" si="0"/>
        <v>South Korea</v>
      </c>
      <c r="L9" s="3" t="str">
        <f t="shared" si="1"/>
        <v>Saudi Arabia</v>
      </c>
      <c r="N9" s="3" t="str">
        <f>Standings!E54</f>
        <v>Mexico</v>
      </c>
      <c r="O9" s="3" t="str">
        <f>'3rd Place + Alloc'!G20</f>
        <v/>
      </c>
      <c r="P9" s="6"/>
      <c r="Q9" s="6"/>
      <c r="R9" s="6"/>
      <c r="S9" s="3" t="str">
        <f t="shared" si="2"/>
        <v/>
      </c>
      <c r="T9" s="3" t="str">
        <f t="shared" si="3"/>
        <v/>
      </c>
      <c r="U9" s="2" t="str">
        <f t="shared" si="4"/>
        <v/>
      </c>
    </row>
    <row r="10" spans="1:21" x14ac:dyDescent="0.2">
      <c r="A10" s="2">
        <v>80</v>
      </c>
      <c r="B10" s="2" t="s">
        <v>186</v>
      </c>
      <c r="C10" s="2" t="s">
        <v>204</v>
      </c>
      <c r="D10" s="3" t="s">
        <v>205</v>
      </c>
      <c r="E10" s="3" t="s">
        <v>206</v>
      </c>
      <c r="F10" s="3" t="str">
        <f>Standings!B65</f>
        <v>England</v>
      </c>
      <c r="G10" s="3" t="str">
        <f>'3rd Place + Alloc'!D21</f>
        <v>DR Congo</v>
      </c>
      <c r="H10" s="6">
        <v>3</v>
      </c>
      <c r="I10" s="6">
        <v>1</v>
      </c>
      <c r="J10" s="6"/>
      <c r="K10" s="3" t="str">
        <f t="shared" si="0"/>
        <v>England</v>
      </c>
      <c r="L10" s="3" t="str">
        <f t="shared" si="1"/>
        <v>DR Congo</v>
      </c>
      <c r="N10" s="3" t="str">
        <f>Standings!E65</f>
        <v>England</v>
      </c>
      <c r="O10" s="3" t="str">
        <f>'3rd Place + Alloc'!G21</f>
        <v/>
      </c>
      <c r="P10" s="6"/>
      <c r="Q10" s="6"/>
      <c r="R10" s="6"/>
      <c r="S10" s="3" t="str">
        <f t="shared" si="2"/>
        <v/>
      </c>
      <c r="T10" s="3" t="str">
        <f t="shared" si="3"/>
        <v/>
      </c>
      <c r="U10" s="2" t="str">
        <f t="shared" si="4"/>
        <v/>
      </c>
    </row>
    <row r="11" spans="1:21" x14ac:dyDescent="0.2">
      <c r="A11" s="2">
        <v>81</v>
      </c>
      <c r="B11" s="2" t="s">
        <v>186</v>
      </c>
      <c r="C11" s="2" t="s">
        <v>204</v>
      </c>
      <c r="D11" s="3" t="s">
        <v>207</v>
      </c>
      <c r="E11" s="3" t="s">
        <v>208</v>
      </c>
      <c r="F11" s="3" t="str">
        <f>Standings!B57</f>
        <v>Türkiye</v>
      </c>
      <c r="G11" s="3" t="str">
        <f>'3rd Place + Alloc'!D22</f>
        <v>Canada</v>
      </c>
      <c r="H11" s="6">
        <v>2</v>
      </c>
      <c r="I11" s="6">
        <v>1</v>
      </c>
      <c r="J11" s="6"/>
      <c r="K11" s="3" t="str">
        <f t="shared" si="0"/>
        <v>Türkiye</v>
      </c>
      <c r="L11" s="3" t="str">
        <f t="shared" si="1"/>
        <v>Canada</v>
      </c>
      <c r="N11" s="3" t="str">
        <f>Standings!E57</f>
        <v>United States</v>
      </c>
      <c r="O11" s="3" t="str">
        <f>'3rd Place + Alloc'!G22</f>
        <v/>
      </c>
      <c r="P11" s="6"/>
      <c r="Q11" s="6"/>
      <c r="R11" s="6"/>
      <c r="S11" s="3" t="str">
        <f t="shared" si="2"/>
        <v/>
      </c>
      <c r="T11" s="3" t="str">
        <f t="shared" si="3"/>
        <v/>
      </c>
      <c r="U11" s="2" t="str">
        <f t="shared" si="4"/>
        <v/>
      </c>
    </row>
    <row r="12" spans="1:21" x14ac:dyDescent="0.2">
      <c r="A12" s="2">
        <v>82</v>
      </c>
      <c r="B12" s="2" t="s">
        <v>186</v>
      </c>
      <c r="C12" s="2" t="s">
        <v>204</v>
      </c>
      <c r="D12" s="3" t="s">
        <v>209</v>
      </c>
      <c r="E12" s="3" t="s">
        <v>210</v>
      </c>
      <c r="F12" s="3" t="str">
        <f>Standings!B60</f>
        <v>Egypt</v>
      </c>
      <c r="G12" s="3" t="str">
        <f>'3rd Place + Alloc'!D23</f>
        <v>Senegal</v>
      </c>
      <c r="H12" s="6">
        <v>1</v>
      </c>
      <c r="I12" s="6">
        <v>2</v>
      </c>
      <c r="J12" s="6"/>
      <c r="K12" s="3" t="str">
        <f t="shared" si="0"/>
        <v>Senegal</v>
      </c>
      <c r="L12" s="3" t="str">
        <f t="shared" si="1"/>
        <v>Egypt</v>
      </c>
      <c r="N12" s="3" t="str">
        <f>Standings!E60</f>
        <v>Belgium</v>
      </c>
      <c r="O12" s="3" t="str">
        <f>'3rd Place + Alloc'!G23</f>
        <v/>
      </c>
      <c r="P12" s="6"/>
      <c r="Q12" s="6"/>
      <c r="R12" s="6"/>
      <c r="S12" s="3" t="str">
        <f t="shared" si="2"/>
        <v/>
      </c>
      <c r="T12" s="3" t="str">
        <f t="shared" si="3"/>
        <v/>
      </c>
      <c r="U12" s="2" t="str">
        <f t="shared" si="4"/>
        <v/>
      </c>
    </row>
    <row r="13" spans="1:21" x14ac:dyDescent="0.2">
      <c r="A13" s="2">
        <v>83</v>
      </c>
      <c r="B13" s="2" t="s">
        <v>186</v>
      </c>
      <c r="C13" s="2" t="s">
        <v>211</v>
      </c>
      <c r="D13" s="3" t="s">
        <v>212</v>
      </c>
      <c r="E13" s="3" t="s">
        <v>213</v>
      </c>
      <c r="F13" s="3" t="str">
        <f>Standings!C64</f>
        <v>Colombia</v>
      </c>
      <c r="G13" s="3" t="str">
        <f>Standings!C65</f>
        <v>Croatia</v>
      </c>
      <c r="H13" s="6">
        <v>1</v>
      </c>
      <c r="I13" s="6">
        <v>2</v>
      </c>
      <c r="J13" s="6"/>
      <c r="K13" s="3" t="str">
        <f t="shared" si="0"/>
        <v>Croatia</v>
      </c>
      <c r="L13" s="3" t="str">
        <f t="shared" si="1"/>
        <v>Colombia</v>
      </c>
      <c r="N13" s="3" t="str">
        <f>Standings!F64</f>
        <v>Colombia</v>
      </c>
      <c r="O13" s="3" t="str">
        <f>Standings!F65</f>
        <v>Croatia</v>
      </c>
      <c r="P13" s="6"/>
      <c r="Q13" s="6"/>
      <c r="R13" s="6"/>
      <c r="S13" s="3" t="str">
        <f t="shared" si="2"/>
        <v/>
      </c>
      <c r="T13" s="3" t="str">
        <f t="shared" si="3"/>
        <v/>
      </c>
      <c r="U13" s="2" t="str">
        <f t="shared" si="4"/>
        <v/>
      </c>
    </row>
    <row r="14" spans="1:21" x14ac:dyDescent="0.2">
      <c r="A14" s="2">
        <v>84</v>
      </c>
      <c r="B14" s="2" t="s">
        <v>186</v>
      </c>
      <c r="C14" s="2" t="s">
        <v>211</v>
      </c>
      <c r="D14" s="3" t="s">
        <v>214</v>
      </c>
      <c r="E14" s="3" t="s">
        <v>215</v>
      </c>
      <c r="F14" s="3" t="str">
        <f>Standings!B61</f>
        <v>Spain</v>
      </c>
      <c r="G14" s="3" t="str">
        <f>Standings!C63</f>
        <v>Austria</v>
      </c>
      <c r="H14" s="6">
        <v>3</v>
      </c>
      <c r="I14" s="6">
        <v>1</v>
      </c>
      <c r="J14" s="6"/>
      <c r="K14" s="3" t="str">
        <f t="shared" si="0"/>
        <v>Spain</v>
      </c>
      <c r="L14" s="3" t="str">
        <f t="shared" si="1"/>
        <v>Austria</v>
      </c>
      <c r="N14" s="3" t="str">
        <f>Standings!E61</f>
        <v>Spain</v>
      </c>
      <c r="O14" s="3" t="str">
        <f>Standings!F63</f>
        <v>Austria</v>
      </c>
      <c r="P14" s="6"/>
      <c r="Q14" s="6"/>
      <c r="R14" s="6"/>
      <c r="S14" s="3" t="str">
        <f t="shared" si="2"/>
        <v/>
      </c>
      <c r="T14" s="3" t="str">
        <f t="shared" si="3"/>
        <v/>
      </c>
      <c r="U14" s="2" t="str">
        <f t="shared" si="4"/>
        <v/>
      </c>
    </row>
    <row r="15" spans="1:21" x14ac:dyDescent="0.2">
      <c r="A15" s="2">
        <v>85</v>
      </c>
      <c r="B15" s="2" t="s">
        <v>186</v>
      </c>
      <c r="C15" s="2" t="s">
        <v>211</v>
      </c>
      <c r="D15" s="3" t="s">
        <v>216</v>
      </c>
      <c r="E15" s="3" t="s">
        <v>217</v>
      </c>
      <c r="F15" s="3" t="str">
        <f>Standings!B55</f>
        <v>Bosnia &amp; Herzegovina</v>
      </c>
      <c r="G15" s="3" t="str">
        <f>'3rd Place + Alloc'!D24</f>
        <v>Sweden</v>
      </c>
      <c r="H15" s="6">
        <v>1</v>
      </c>
      <c r="I15" s="6">
        <v>2</v>
      </c>
      <c r="J15" s="6"/>
      <c r="K15" s="3" t="str">
        <f t="shared" si="0"/>
        <v>Sweden</v>
      </c>
      <c r="L15" s="3" t="str">
        <f t="shared" si="1"/>
        <v>Bosnia &amp; Herzegovina</v>
      </c>
      <c r="N15" s="3" t="str">
        <f>Standings!E55</f>
        <v>Canada</v>
      </c>
      <c r="O15" s="3" t="str">
        <f>'3rd Place + Alloc'!G24</f>
        <v/>
      </c>
      <c r="P15" s="6"/>
      <c r="Q15" s="6"/>
      <c r="R15" s="6"/>
      <c r="S15" s="3" t="str">
        <f t="shared" si="2"/>
        <v/>
      </c>
      <c r="T15" s="3" t="str">
        <f t="shared" si="3"/>
        <v/>
      </c>
      <c r="U15" s="2" t="str">
        <f t="shared" si="4"/>
        <v/>
      </c>
    </row>
    <row r="16" spans="1:21" x14ac:dyDescent="0.2">
      <c r="A16" s="2">
        <v>86</v>
      </c>
      <c r="B16" s="2" t="s">
        <v>186</v>
      </c>
      <c r="C16" s="2" t="s">
        <v>218</v>
      </c>
      <c r="D16" s="3" t="s">
        <v>219</v>
      </c>
      <c r="E16" s="3" t="s">
        <v>220</v>
      </c>
      <c r="F16" s="3" t="str">
        <f>Standings!B63</f>
        <v>Argentina</v>
      </c>
      <c r="G16" s="3" t="str">
        <f>Standings!C61</f>
        <v>Uruguay</v>
      </c>
      <c r="H16" s="6">
        <v>1</v>
      </c>
      <c r="I16" s="6">
        <v>1</v>
      </c>
      <c r="J16" s="6" t="s">
        <v>46</v>
      </c>
      <c r="K16" s="3" t="str">
        <f t="shared" si="0"/>
        <v>Argentina</v>
      </c>
      <c r="L16" s="3" t="str">
        <f t="shared" si="1"/>
        <v>Uruguay</v>
      </c>
      <c r="N16" s="3" t="str">
        <f>Standings!E63</f>
        <v>Argentina</v>
      </c>
      <c r="O16" s="3" t="str">
        <f>Standings!F61</f>
        <v>Uruguay</v>
      </c>
      <c r="P16" s="6"/>
      <c r="Q16" s="6"/>
      <c r="R16" s="6"/>
      <c r="S16" s="3" t="str">
        <f t="shared" si="2"/>
        <v/>
      </c>
      <c r="T16" s="3" t="str">
        <f t="shared" si="3"/>
        <v/>
      </c>
      <c r="U16" s="2" t="str">
        <f t="shared" si="4"/>
        <v/>
      </c>
    </row>
    <row r="17" spans="1:21" x14ac:dyDescent="0.2">
      <c r="A17" s="2">
        <v>87</v>
      </c>
      <c r="B17" s="2" t="s">
        <v>186</v>
      </c>
      <c r="C17" s="2" t="s">
        <v>218</v>
      </c>
      <c r="D17" s="3" t="s">
        <v>221</v>
      </c>
      <c r="E17" s="3" t="s">
        <v>222</v>
      </c>
      <c r="F17" s="3" t="str">
        <f>Standings!B64</f>
        <v>Portugal</v>
      </c>
      <c r="G17" s="3" t="str">
        <f>'3rd Place + Alloc'!D25</f>
        <v>Ghana</v>
      </c>
      <c r="H17" s="6">
        <v>3</v>
      </c>
      <c r="I17" s="6">
        <v>1</v>
      </c>
      <c r="J17" s="6"/>
      <c r="K17" s="3" t="str">
        <f t="shared" si="0"/>
        <v>Portugal</v>
      </c>
      <c r="L17" s="3" t="str">
        <f t="shared" si="1"/>
        <v>Ghana</v>
      </c>
      <c r="N17" s="3" t="str">
        <f>Standings!E64</f>
        <v>Portugal</v>
      </c>
      <c r="O17" s="3" t="str">
        <f>'3rd Place + Alloc'!G25</f>
        <v/>
      </c>
      <c r="P17" s="6"/>
      <c r="Q17" s="6"/>
      <c r="R17" s="6"/>
      <c r="S17" s="3" t="str">
        <f t="shared" si="2"/>
        <v/>
      </c>
      <c r="T17" s="3" t="str">
        <f t="shared" si="3"/>
        <v/>
      </c>
      <c r="U17" s="2" t="str">
        <f t="shared" si="4"/>
        <v/>
      </c>
    </row>
    <row r="18" spans="1:21" x14ac:dyDescent="0.2">
      <c r="A18" s="2">
        <v>88</v>
      </c>
      <c r="B18" s="2" t="s">
        <v>186</v>
      </c>
      <c r="C18" s="2" t="s">
        <v>218</v>
      </c>
      <c r="D18" s="3" t="s">
        <v>223</v>
      </c>
      <c r="E18" s="3" t="s">
        <v>224</v>
      </c>
      <c r="F18" s="3" t="str">
        <f>Standings!C57</f>
        <v>United States</v>
      </c>
      <c r="G18" s="3" t="str">
        <f>Standings!C60</f>
        <v>Belgium</v>
      </c>
      <c r="H18" s="6">
        <v>1</v>
      </c>
      <c r="I18" s="6">
        <v>2</v>
      </c>
      <c r="J18" s="6"/>
      <c r="K18" s="3" t="str">
        <f t="shared" si="0"/>
        <v>Belgium</v>
      </c>
      <c r="L18" s="3" t="str">
        <f t="shared" si="1"/>
        <v>United States</v>
      </c>
      <c r="N18" s="3" t="str">
        <f>Standings!F57</f>
        <v>Australia</v>
      </c>
      <c r="O18" s="3" t="str">
        <f>Standings!F60</f>
        <v>Iran</v>
      </c>
      <c r="P18" s="6"/>
      <c r="Q18" s="6"/>
      <c r="R18" s="6"/>
      <c r="S18" s="3" t="str">
        <f t="shared" si="2"/>
        <v/>
      </c>
      <c r="T18" s="3" t="str">
        <f t="shared" si="3"/>
        <v/>
      </c>
      <c r="U18" s="2" t="str">
        <f t="shared" si="4"/>
        <v/>
      </c>
    </row>
    <row r="19" spans="1:21" x14ac:dyDescent="0.2">
      <c r="A19" s="2">
        <v>89</v>
      </c>
      <c r="B19" s="2" t="s">
        <v>225</v>
      </c>
      <c r="C19" s="2" t="s">
        <v>226</v>
      </c>
      <c r="D19" s="3" t="s">
        <v>227</v>
      </c>
      <c r="E19" s="3" t="s">
        <v>228</v>
      </c>
      <c r="F19" s="3" t="str">
        <f>K4</f>
        <v>Ecuador</v>
      </c>
      <c r="G19" s="3" t="str">
        <f>K7</f>
        <v>France</v>
      </c>
      <c r="H19" s="6">
        <v>1</v>
      </c>
      <c r="I19" s="6">
        <v>2</v>
      </c>
      <c r="J19" s="6"/>
      <c r="K19" s="3" t="str">
        <f t="shared" si="0"/>
        <v>France</v>
      </c>
      <c r="L19" s="3" t="str">
        <f t="shared" si="1"/>
        <v>Ecuador</v>
      </c>
      <c r="N19" s="3" t="str">
        <f>S4</f>
        <v/>
      </c>
      <c r="O19" s="3" t="str">
        <f>S7</f>
        <v/>
      </c>
      <c r="P19" s="6"/>
      <c r="Q19" s="6"/>
      <c r="R19" s="6"/>
      <c r="S19" s="3" t="str">
        <f t="shared" si="2"/>
        <v/>
      </c>
      <c r="T19" s="3" t="str">
        <f t="shared" si="3"/>
        <v/>
      </c>
      <c r="U19" s="2" t="str">
        <f t="shared" si="4"/>
        <v/>
      </c>
    </row>
    <row r="20" spans="1:21" x14ac:dyDescent="0.2">
      <c r="A20" s="2">
        <v>90</v>
      </c>
      <c r="B20" s="2" t="s">
        <v>225</v>
      </c>
      <c r="C20" s="2" t="s">
        <v>226</v>
      </c>
      <c r="D20" s="3" t="s">
        <v>229</v>
      </c>
      <c r="E20" s="3" t="s">
        <v>230</v>
      </c>
      <c r="F20" s="3" t="str">
        <f>K3</f>
        <v>Mexico</v>
      </c>
      <c r="G20" s="3" t="str">
        <f>K5</f>
        <v>Netherlands</v>
      </c>
      <c r="H20" s="6">
        <v>1</v>
      </c>
      <c r="I20" s="6">
        <v>2</v>
      </c>
      <c r="J20" s="6"/>
      <c r="K20" s="3" t="str">
        <f t="shared" si="0"/>
        <v>Netherlands</v>
      </c>
      <c r="L20" s="3" t="str">
        <f t="shared" si="1"/>
        <v>Mexico</v>
      </c>
      <c r="N20" s="3" t="str">
        <f>S3</f>
        <v/>
      </c>
      <c r="O20" s="3" t="str">
        <f>S5</f>
        <v/>
      </c>
      <c r="P20" s="6"/>
      <c r="Q20" s="6"/>
      <c r="R20" s="6"/>
      <c r="S20" s="3" t="str">
        <f t="shared" si="2"/>
        <v/>
      </c>
      <c r="T20" s="3" t="str">
        <f t="shared" si="3"/>
        <v/>
      </c>
      <c r="U20" s="2" t="str">
        <f t="shared" si="4"/>
        <v/>
      </c>
    </row>
    <row r="21" spans="1:21" x14ac:dyDescent="0.2">
      <c r="A21" s="2">
        <v>91</v>
      </c>
      <c r="B21" s="2" t="s">
        <v>225</v>
      </c>
      <c r="C21" s="2" t="s">
        <v>231</v>
      </c>
      <c r="D21" s="3" t="s">
        <v>232</v>
      </c>
      <c r="E21" s="3" t="s">
        <v>233</v>
      </c>
      <c r="F21" s="3" t="str">
        <f>K6</f>
        <v>Brazil</v>
      </c>
      <c r="G21" s="3" t="str">
        <f>K8</f>
        <v>Norway</v>
      </c>
      <c r="H21" s="6">
        <v>2</v>
      </c>
      <c r="I21" s="6">
        <v>1</v>
      </c>
      <c r="J21" s="6"/>
      <c r="K21" s="3" t="str">
        <f t="shared" si="0"/>
        <v>Brazil</v>
      </c>
      <c r="L21" s="3" t="str">
        <f t="shared" si="1"/>
        <v>Norway</v>
      </c>
      <c r="N21" s="3" t="str">
        <f>S6</f>
        <v/>
      </c>
      <c r="O21" s="3" t="str">
        <f>S8</f>
        <v/>
      </c>
      <c r="P21" s="6"/>
      <c r="Q21" s="6"/>
      <c r="R21" s="6"/>
      <c r="S21" s="3" t="str">
        <f t="shared" si="2"/>
        <v/>
      </c>
      <c r="T21" s="3" t="str">
        <f t="shared" si="3"/>
        <v/>
      </c>
      <c r="U21" s="2" t="str">
        <f t="shared" si="4"/>
        <v/>
      </c>
    </row>
    <row r="22" spans="1:21" x14ac:dyDescent="0.2">
      <c r="A22" s="2">
        <v>92</v>
      </c>
      <c r="B22" s="2" t="s">
        <v>225</v>
      </c>
      <c r="C22" s="2" t="s">
        <v>231</v>
      </c>
      <c r="D22" s="3" t="s">
        <v>234</v>
      </c>
      <c r="E22" s="3" t="s">
        <v>235</v>
      </c>
      <c r="F22" s="3" t="str">
        <f>K9</f>
        <v>South Korea</v>
      </c>
      <c r="G22" s="3" t="str">
        <f>K10</f>
        <v>England</v>
      </c>
      <c r="H22" s="6">
        <v>1</v>
      </c>
      <c r="I22" s="6">
        <v>2</v>
      </c>
      <c r="J22" s="6"/>
      <c r="K22" s="3" t="str">
        <f t="shared" si="0"/>
        <v>England</v>
      </c>
      <c r="L22" s="3" t="str">
        <f t="shared" si="1"/>
        <v>South Korea</v>
      </c>
      <c r="N22" s="3" t="str">
        <f>S9</f>
        <v/>
      </c>
      <c r="O22" s="3" t="str">
        <f>S10</f>
        <v/>
      </c>
      <c r="P22" s="6"/>
      <c r="Q22" s="6"/>
      <c r="R22" s="6"/>
      <c r="S22" s="3" t="str">
        <f t="shared" si="2"/>
        <v/>
      </c>
      <c r="T22" s="3" t="str">
        <f t="shared" si="3"/>
        <v/>
      </c>
      <c r="U22" s="2" t="str">
        <f t="shared" si="4"/>
        <v/>
      </c>
    </row>
    <row r="23" spans="1:21" x14ac:dyDescent="0.2">
      <c r="A23" s="2">
        <v>93</v>
      </c>
      <c r="B23" s="2" t="s">
        <v>225</v>
      </c>
      <c r="C23" s="2" t="s">
        <v>236</v>
      </c>
      <c r="D23" s="3" t="s">
        <v>237</v>
      </c>
      <c r="E23" s="3" t="s">
        <v>238</v>
      </c>
      <c r="F23" s="3" t="str">
        <f>K13</f>
        <v>Croatia</v>
      </c>
      <c r="G23" s="3" t="str">
        <f>K14</f>
        <v>Spain</v>
      </c>
      <c r="H23" s="6">
        <v>1</v>
      </c>
      <c r="I23" s="6">
        <v>3</v>
      </c>
      <c r="J23" s="6"/>
      <c r="K23" s="3" t="str">
        <f t="shared" si="0"/>
        <v>Spain</v>
      </c>
      <c r="L23" s="3" t="str">
        <f t="shared" si="1"/>
        <v>Croatia</v>
      </c>
      <c r="N23" s="3" t="str">
        <f>S13</f>
        <v/>
      </c>
      <c r="O23" s="3" t="str">
        <f>S14</f>
        <v/>
      </c>
      <c r="P23" s="6"/>
      <c r="Q23" s="6"/>
      <c r="R23" s="6"/>
      <c r="S23" s="3" t="str">
        <f t="shared" si="2"/>
        <v/>
      </c>
      <c r="T23" s="3" t="str">
        <f t="shared" si="3"/>
        <v/>
      </c>
      <c r="U23" s="2" t="str">
        <f t="shared" si="4"/>
        <v/>
      </c>
    </row>
    <row r="24" spans="1:21" x14ac:dyDescent="0.2">
      <c r="A24" s="2">
        <v>94</v>
      </c>
      <c r="B24" s="2" t="s">
        <v>225</v>
      </c>
      <c r="C24" s="2" t="s">
        <v>236</v>
      </c>
      <c r="D24" s="3" t="s">
        <v>239</v>
      </c>
      <c r="E24" s="3" t="s">
        <v>240</v>
      </c>
      <c r="F24" s="3" t="str">
        <f>K11</f>
        <v>Türkiye</v>
      </c>
      <c r="G24" s="3" t="str">
        <f>K12</f>
        <v>Senegal</v>
      </c>
      <c r="H24" s="6">
        <v>2</v>
      </c>
      <c r="I24" s="6">
        <v>1</v>
      </c>
      <c r="J24" s="6"/>
      <c r="K24" s="3" t="str">
        <f t="shared" si="0"/>
        <v>Türkiye</v>
      </c>
      <c r="L24" s="3" t="str">
        <f t="shared" si="1"/>
        <v>Senegal</v>
      </c>
      <c r="N24" s="3" t="str">
        <f>S11</f>
        <v/>
      </c>
      <c r="O24" s="3" t="str">
        <f>S12</f>
        <v/>
      </c>
      <c r="P24" s="6"/>
      <c r="Q24" s="6"/>
      <c r="R24" s="6"/>
      <c r="S24" s="3" t="str">
        <f t="shared" si="2"/>
        <v/>
      </c>
      <c r="T24" s="3" t="str">
        <f t="shared" si="3"/>
        <v/>
      </c>
      <c r="U24" s="2" t="str">
        <f t="shared" si="4"/>
        <v/>
      </c>
    </row>
    <row r="25" spans="1:21" x14ac:dyDescent="0.2">
      <c r="A25" s="2">
        <v>95</v>
      </c>
      <c r="B25" s="2" t="s">
        <v>225</v>
      </c>
      <c r="C25" s="2" t="s">
        <v>241</v>
      </c>
      <c r="D25" s="3" t="s">
        <v>242</v>
      </c>
      <c r="E25" s="3" t="s">
        <v>243</v>
      </c>
      <c r="F25" s="3" t="str">
        <f>K16</f>
        <v>Argentina</v>
      </c>
      <c r="G25" s="3" t="str">
        <f>K18</f>
        <v>Belgium</v>
      </c>
      <c r="H25" s="6">
        <v>1</v>
      </c>
      <c r="I25" s="6">
        <v>0</v>
      </c>
      <c r="J25" s="6"/>
      <c r="K25" s="3" t="str">
        <f t="shared" si="0"/>
        <v>Argentina</v>
      </c>
      <c r="L25" s="3" t="str">
        <f t="shared" si="1"/>
        <v>Belgium</v>
      </c>
      <c r="N25" s="3" t="str">
        <f>S16</f>
        <v/>
      </c>
      <c r="O25" s="3" t="str">
        <f>S18</f>
        <v/>
      </c>
      <c r="P25" s="6"/>
      <c r="Q25" s="6"/>
      <c r="R25" s="6"/>
      <c r="S25" s="3" t="str">
        <f t="shared" si="2"/>
        <v/>
      </c>
      <c r="T25" s="3" t="str">
        <f t="shared" si="3"/>
        <v/>
      </c>
      <c r="U25" s="2" t="str">
        <f t="shared" si="4"/>
        <v/>
      </c>
    </row>
    <row r="26" spans="1:21" x14ac:dyDescent="0.2">
      <c r="A26" s="2">
        <v>96</v>
      </c>
      <c r="B26" s="2" t="s">
        <v>225</v>
      </c>
      <c r="C26" s="2" t="s">
        <v>241</v>
      </c>
      <c r="D26" s="3" t="s">
        <v>244</v>
      </c>
      <c r="E26" s="3" t="s">
        <v>245</v>
      </c>
      <c r="F26" s="3" t="str">
        <f>K15</f>
        <v>Sweden</v>
      </c>
      <c r="G26" s="3" t="str">
        <f>K17</f>
        <v>Portugal</v>
      </c>
      <c r="H26" s="6">
        <v>1</v>
      </c>
      <c r="I26" s="6">
        <v>3</v>
      </c>
      <c r="J26" s="6"/>
      <c r="K26" s="3" t="str">
        <f t="shared" si="0"/>
        <v>Portugal</v>
      </c>
      <c r="L26" s="3" t="str">
        <f t="shared" si="1"/>
        <v>Sweden</v>
      </c>
      <c r="N26" s="3" t="str">
        <f>S15</f>
        <v/>
      </c>
      <c r="O26" s="3" t="str">
        <f>S17</f>
        <v/>
      </c>
      <c r="P26" s="6"/>
      <c r="Q26" s="6"/>
      <c r="R26" s="6"/>
      <c r="S26" s="3" t="str">
        <f t="shared" si="2"/>
        <v/>
      </c>
      <c r="T26" s="3" t="str">
        <f t="shared" si="3"/>
        <v/>
      </c>
      <c r="U26" s="2" t="str">
        <f t="shared" si="4"/>
        <v/>
      </c>
    </row>
    <row r="27" spans="1:21" x14ac:dyDescent="0.2">
      <c r="A27" s="2">
        <v>97</v>
      </c>
      <c r="B27" s="2" t="s">
        <v>246</v>
      </c>
      <c r="C27" s="2" t="s">
        <v>247</v>
      </c>
      <c r="D27" s="3" t="s">
        <v>248</v>
      </c>
      <c r="E27" s="3" t="s">
        <v>249</v>
      </c>
      <c r="F27" s="3" t="str">
        <f>K19</f>
        <v>France</v>
      </c>
      <c r="G27" s="3" t="str">
        <f>K20</f>
        <v>Netherlands</v>
      </c>
      <c r="H27" s="6">
        <v>3</v>
      </c>
      <c r="I27" s="6">
        <v>2</v>
      </c>
      <c r="J27" s="6"/>
      <c r="K27" s="3" t="str">
        <f t="shared" si="0"/>
        <v>France</v>
      </c>
      <c r="L27" s="3" t="str">
        <f t="shared" si="1"/>
        <v>Netherlands</v>
      </c>
      <c r="N27" s="3" t="str">
        <f>S19</f>
        <v/>
      </c>
      <c r="O27" s="3" t="str">
        <f>S20</f>
        <v/>
      </c>
      <c r="P27" s="6"/>
      <c r="Q27" s="6"/>
      <c r="R27" s="6"/>
      <c r="S27" s="3" t="str">
        <f t="shared" si="2"/>
        <v/>
      </c>
      <c r="T27" s="3" t="str">
        <f t="shared" si="3"/>
        <v/>
      </c>
      <c r="U27" s="2" t="str">
        <f t="shared" si="4"/>
        <v/>
      </c>
    </row>
    <row r="28" spans="1:21" x14ac:dyDescent="0.2">
      <c r="A28" s="2">
        <v>98</v>
      </c>
      <c r="B28" s="2" t="s">
        <v>246</v>
      </c>
      <c r="C28" s="2" t="s">
        <v>250</v>
      </c>
      <c r="D28" s="3" t="s">
        <v>251</v>
      </c>
      <c r="E28" s="3" t="s">
        <v>252</v>
      </c>
      <c r="F28" s="3" t="str">
        <f>K23</f>
        <v>Spain</v>
      </c>
      <c r="G28" s="3" t="str">
        <f>K24</f>
        <v>Türkiye</v>
      </c>
      <c r="H28" s="6">
        <v>2</v>
      </c>
      <c r="I28" s="6">
        <v>2</v>
      </c>
      <c r="J28" s="6" t="s">
        <v>4</v>
      </c>
      <c r="K28" s="3" t="str">
        <f t="shared" si="0"/>
        <v>Türkiye</v>
      </c>
      <c r="L28" s="3" t="str">
        <f t="shared" si="1"/>
        <v>Spain</v>
      </c>
      <c r="N28" s="3" t="str">
        <f>S23</f>
        <v/>
      </c>
      <c r="O28" s="3" t="str">
        <f>S24</f>
        <v/>
      </c>
      <c r="P28" s="6"/>
      <c r="Q28" s="6"/>
      <c r="R28" s="6"/>
      <c r="S28" s="3" t="str">
        <f t="shared" si="2"/>
        <v/>
      </c>
      <c r="T28" s="3" t="str">
        <f t="shared" si="3"/>
        <v/>
      </c>
      <c r="U28" s="2" t="str">
        <f t="shared" si="4"/>
        <v/>
      </c>
    </row>
    <row r="29" spans="1:21" x14ac:dyDescent="0.2">
      <c r="A29" s="2">
        <v>99</v>
      </c>
      <c r="B29" s="2" t="s">
        <v>246</v>
      </c>
      <c r="C29" s="2" t="s">
        <v>253</v>
      </c>
      <c r="D29" s="3" t="s">
        <v>254</v>
      </c>
      <c r="E29" s="3" t="s">
        <v>255</v>
      </c>
      <c r="F29" s="3" t="str">
        <f>K21</f>
        <v>Brazil</v>
      </c>
      <c r="G29" s="3" t="str">
        <f>K22</f>
        <v>England</v>
      </c>
      <c r="H29" s="6">
        <v>1</v>
      </c>
      <c r="I29" s="6">
        <v>0</v>
      </c>
      <c r="J29" s="6"/>
      <c r="K29" s="3" t="str">
        <f t="shared" si="0"/>
        <v>Brazil</v>
      </c>
      <c r="L29" s="3" t="str">
        <f t="shared" si="1"/>
        <v>England</v>
      </c>
      <c r="N29" s="3" t="str">
        <f>S21</f>
        <v/>
      </c>
      <c r="O29" s="3" t="str">
        <f>S22</f>
        <v/>
      </c>
      <c r="P29" s="6"/>
      <c r="Q29" s="6"/>
      <c r="R29" s="6"/>
      <c r="S29" s="3" t="str">
        <f t="shared" si="2"/>
        <v/>
      </c>
      <c r="T29" s="3" t="str">
        <f t="shared" si="3"/>
        <v/>
      </c>
      <c r="U29" s="2" t="str">
        <f t="shared" si="4"/>
        <v/>
      </c>
    </row>
    <row r="30" spans="1:21" x14ac:dyDescent="0.2">
      <c r="A30" s="2">
        <v>100</v>
      </c>
      <c r="B30" s="2" t="s">
        <v>246</v>
      </c>
      <c r="C30" s="2" t="s">
        <v>253</v>
      </c>
      <c r="D30" s="3" t="s">
        <v>256</v>
      </c>
      <c r="E30" s="3" t="s">
        <v>257</v>
      </c>
      <c r="F30" s="3" t="str">
        <f>K25</f>
        <v>Argentina</v>
      </c>
      <c r="G30" s="3" t="str">
        <f>K26</f>
        <v>Portugal</v>
      </c>
      <c r="H30" s="6">
        <v>2</v>
      </c>
      <c r="I30" s="6">
        <v>3</v>
      </c>
      <c r="J30" s="6"/>
      <c r="K30" s="3" t="str">
        <f t="shared" si="0"/>
        <v>Portugal</v>
      </c>
      <c r="L30" s="3" t="str">
        <f t="shared" si="1"/>
        <v>Argentina</v>
      </c>
      <c r="N30" s="3" t="str">
        <f>S25</f>
        <v/>
      </c>
      <c r="O30" s="3" t="str">
        <f>S26</f>
        <v/>
      </c>
      <c r="P30" s="6"/>
      <c r="Q30" s="6"/>
      <c r="R30" s="6"/>
      <c r="S30" s="3" t="str">
        <f t="shared" si="2"/>
        <v/>
      </c>
      <c r="T30" s="3" t="str">
        <f t="shared" si="3"/>
        <v/>
      </c>
      <c r="U30" s="2" t="str">
        <f t="shared" si="4"/>
        <v/>
      </c>
    </row>
    <row r="31" spans="1:21" x14ac:dyDescent="0.2">
      <c r="A31" s="2">
        <v>101</v>
      </c>
      <c r="B31" s="2" t="s">
        <v>258</v>
      </c>
      <c r="C31" s="2" t="s">
        <v>259</v>
      </c>
      <c r="D31" s="3" t="s">
        <v>260</v>
      </c>
      <c r="E31" s="3" t="s">
        <v>261</v>
      </c>
      <c r="F31" s="3" t="str">
        <f>K27</f>
        <v>France</v>
      </c>
      <c r="G31" s="3" t="str">
        <f>K28</f>
        <v>Türkiye</v>
      </c>
      <c r="H31" s="6">
        <v>3</v>
      </c>
      <c r="I31" s="6">
        <v>2</v>
      </c>
      <c r="J31" s="6"/>
      <c r="K31" s="3" t="str">
        <f t="shared" si="0"/>
        <v>France</v>
      </c>
      <c r="L31" s="3" t="str">
        <f t="shared" si="1"/>
        <v>Türkiye</v>
      </c>
      <c r="N31" s="3" t="str">
        <f>S27</f>
        <v/>
      </c>
      <c r="O31" s="3" t="str">
        <f>S28</f>
        <v/>
      </c>
      <c r="P31" s="6"/>
      <c r="Q31" s="6"/>
      <c r="R31" s="6"/>
      <c r="S31" s="3" t="str">
        <f t="shared" si="2"/>
        <v/>
      </c>
      <c r="T31" s="3" t="str">
        <f t="shared" si="3"/>
        <v/>
      </c>
      <c r="U31" s="2" t="str">
        <f t="shared" si="4"/>
        <v/>
      </c>
    </row>
    <row r="32" spans="1:21" x14ac:dyDescent="0.2">
      <c r="A32" s="2">
        <v>102</v>
      </c>
      <c r="B32" s="2" t="s">
        <v>258</v>
      </c>
      <c r="C32" s="2" t="s">
        <v>262</v>
      </c>
      <c r="D32" s="3" t="s">
        <v>263</v>
      </c>
      <c r="E32" s="3" t="s">
        <v>264</v>
      </c>
      <c r="F32" s="3" t="str">
        <f>K29</f>
        <v>Brazil</v>
      </c>
      <c r="G32" s="3" t="str">
        <f>K30</f>
        <v>Portugal</v>
      </c>
      <c r="H32" s="6">
        <v>2</v>
      </c>
      <c r="I32" s="6">
        <v>1</v>
      </c>
      <c r="J32" s="6"/>
      <c r="K32" s="3" t="str">
        <f t="shared" si="0"/>
        <v>Brazil</v>
      </c>
      <c r="L32" s="3" t="str">
        <f t="shared" si="1"/>
        <v>Portugal</v>
      </c>
      <c r="N32" s="3" t="str">
        <f>S29</f>
        <v/>
      </c>
      <c r="O32" s="3" t="str">
        <f>S30</f>
        <v/>
      </c>
      <c r="P32" s="6"/>
      <c r="Q32" s="6"/>
      <c r="R32" s="6"/>
      <c r="S32" s="3" t="str">
        <f t="shared" si="2"/>
        <v/>
      </c>
      <c r="T32" s="3" t="str">
        <f t="shared" si="3"/>
        <v/>
      </c>
      <c r="U32" s="2" t="str">
        <f t="shared" si="4"/>
        <v/>
      </c>
    </row>
    <row r="33" spans="1:21" x14ac:dyDescent="0.2">
      <c r="A33" s="2">
        <v>103</v>
      </c>
      <c r="B33" s="2" t="s">
        <v>265</v>
      </c>
      <c r="C33" s="2" t="s">
        <v>266</v>
      </c>
      <c r="D33" s="3" t="s">
        <v>267</v>
      </c>
      <c r="E33" s="3" t="s">
        <v>268</v>
      </c>
      <c r="F33" s="3" t="str">
        <f>L31</f>
        <v>Türkiye</v>
      </c>
      <c r="G33" s="3" t="str">
        <f>L32</f>
        <v>Portugal</v>
      </c>
      <c r="H33" s="6">
        <v>1</v>
      </c>
      <c r="I33" s="6">
        <v>3</v>
      </c>
      <c r="J33" s="6"/>
      <c r="K33" s="3" t="str">
        <f t="shared" si="0"/>
        <v>Portugal</v>
      </c>
      <c r="L33" s="3" t="str">
        <f t="shared" si="1"/>
        <v>Türkiye</v>
      </c>
      <c r="N33" s="3" t="str">
        <f>T31</f>
        <v/>
      </c>
      <c r="O33" s="3" t="str">
        <f>T32</f>
        <v/>
      </c>
      <c r="P33" s="6"/>
      <c r="Q33" s="6"/>
      <c r="R33" s="6"/>
      <c r="S33" s="3" t="str">
        <f t="shared" si="2"/>
        <v/>
      </c>
      <c r="T33" s="3" t="str">
        <f t="shared" si="3"/>
        <v/>
      </c>
      <c r="U33" s="2" t="str">
        <f t="shared" si="4"/>
        <v/>
      </c>
    </row>
    <row r="34" spans="1:21" x14ac:dyDescent="0.2">
      <c r="A34" s="2">
        <v>104</v>
      </c>
      <c r="B34" s="2" t="s">
        <v>269</v>
      </c>
      <c r="C34" s="2" t="s">
        <v>270</v>
      </c>
      <c r="D34" s="3" t="s">
        <v>271</v>
      </c>
      <c r="E34" s="3" t="s">
        <v>272</v>
      </c>
      <c r="F34" s="3" t="str">
        <f>K31</f>
        <v>France</v>
      </c>
      <c r="G34" s="3" t="str">
        <f>K32</f>
        <v>Brazil</v>
      </c>
      <c r="H34" s="6">
        <v>1</v>
      </c>
      <c r="I34" s="6">
        <v>2</v>
      </c>
      <c r="J34" s="6"/>
      <c r="K34" s="3" t="str">
        <f t="shared" si="0"/>
        <v>Brazil</v>
      </c>
      <c r="L34" s="3" t="str">
        <f t="shared" si="1"/>
        <v>France</v>
      </c>
      <c r="N34" s="3" t="str">
        <f>S31</f>
        <v/>
      </c>
      <c r="O34" s="3" t="str">
        <f>S32</f>
        <v/>
      </c>
      <c r="P34" s="6"/>
      <c r="Q34" s="6"/>
      <c r="R34" s="6"/>
      <c r="S34" s="3" t="str">
        <f t="shared" si="2"/>
        <v/>
      </c>
      <c r="T34" s="3" t="str">
        <f t="shared" si="3"/>
        <v/>
      </c>
      <c r="U34" s="2" t="str">
        <f t="shared" si="4"/>
        <v/>
      </c>
    </row>
  </sheetData>
  <dataValidations count="1">
    <dataValidation type="list" allowBlank="1" sqref="J3:J34 R3:R34" xr:uid="{00000000-0002-0000-0500-000000000000}">
      <formula1>"H,A"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zoomScaleNormal="100" workbookViewId="0">
      <selection activeCell="B17" sqref="B17"/>
    </sheetView>
  </sheetViews>
  <sheetFormatPr baseColWidth="10" defaultColWidth="8.6640625" defaultRowHeight="15" x14ac:dyDescent="0.2"/>
  <cols>
    <col min="1" max="1" width="40" customWidth="1"/>
    <col min="2" max="2" width="16" customWidth="1"/>
  </cols>
  <sheetData>
    <row r="1" spans="1:2" ht="17" x14ac:dyDescent="0.2">
      <c r="A1" s="7" t="s">
        <v>273</v>
      </c>
    </row>
    <row r="3" spans="1:2" x14ac:dyDescent="0.2">
      <c r="A3" s="8" t="s">
        <v>274</v>
      </c>
      <c r="B3" s="11">
        <f>SUMPRODUCT(--ISNUMBER('Group Matches'!J3:J74),--ISNUMBER('Group Matches'!K3:K74))</f>
        <v>12</v>
      </c>
    </row>
    <row r="4" spans="1:2" x14ac:dyDescent="0.2">
      <c r="A4" s="8" t="s">
        <v>275</v>
      </c>
      <c r="B4" s="11">
        <f>SUMPRODUCT(--ISNUMBER('Group Matches'!J3:J74),--ISNUMBER('Group Matches'!K3:K74),--('Group Matches'!F3:F74='Group Matches'!J3:J74),--('Group Matches'!G3:G74='Group Matches'!K3:K74))</f>
        <v>0</v>
      </c>
    </row>
    <row r="5" spans="1:2" x14ac:dyDescent="0.2">
      <c r="A5" s="8" t="s">
        <v>276</v>
      </c>
      <c r="B5" s="11">
        <f>SUMIF('Group Matches'!P3:P74,1)</f>
        <v>6</v>
      </c>
    </row>
    <row r="6" spans="1:2" x14ac:dyDescent="0.2">
      <c r="A6" s="8" t="s">
        <v>277</v>
      </c>
      <c r="B6" s="11">
        <f>IFERROR(B5/B3,"—")</f>
        <v>0.5</v>
      </c>
    </row>
    <row r="7" spans="1:2" x14ac:dyDescent="0.2">
      <c r="A7" s="8" t="s">
        <v>278</v>
      </c>
      <c r="B7" s="11">
        <f>SUMPRODUCT(IF(ISNUMBER('Group Matches'!N3:N74),ABS('Group Matches'!N3:N74),0))+SUMPRODUCT(IF(ISNUMBER('Group Matches'!O3:O74),ABS('Group Matches'!O3:O74),0))</f>
        <v>2</v>
      </c>
    </row>
    <row r="8" spans="1:2" x14ac:dyDescent="0.2">
      <c r="A8" s="8" t="s">
        <v>279</v>
      </c>
      <c r="B8" s="11">
        <f>IFERROR(B7/(2*B3),"—")</f>
        <v>8.3333333333333329E-2</v>
      </c>
    </row>
    <row r="9" spans="1:2" x14ac:dyDescent="0.2">
      <c r="B9" s="12"/>
    </row>
    <row r="10" spans="1:2" x14ac:dyDescent="0.2">
      <c r="A10" s="4" t="s">
        <v>280</v>
      </c>
      <c r="B10" s="12"/>
    </row>
    <row r="11" spans="1:2" x14ac:dyDescent="0.2">
      <c r="A11" s="8" t="s">
        <v>281</v>
      </c>
      <c r="B11" s="11">
        <f>SUMPRODUCT(--('Knockout Bracket'!K3:K18&lt;&gt;""),--('Knockout Bracket'!S3:S18&lt;&gt;""),--('Knockout Bracket'!K3:K18='Knockout Bracket'!S3:S18))</f>
        <v>0</v>
      </c>
    </row>
    <row r="12" spans="1:2" x14ac:dyDescent="0.2">
      <c r="A12" s="8" t="s">
        <v>282</v>
      </c>
      <c r="B12" s="11">
        <f>SUMPRODUCT(--('Knockout Bracket'!K19:K26&lt;&gt;""),--('Knockout Bracket'!S19:S26&lt;&gt;""),--('Knockout Bracket'!K19:K26='Knockout Bracket'!S19:S26))</f>
        <v>0</v>
      </c>
    </row>
    <row r="13" spans="1:2" x14ac:dyDescent="0.2">
      <c r="A13" s="8" t="s">
        <v>283</v>
      </c>
      <c r="B13" s="11">
        <f>SUMPRODUCT(--('Knockout Bracket'!K27:K30&lt;&gt;""),--('Knockout Bracket'!S27:S30&lt;&gt;""),--('Knockout Bracket'!K27:K30='Knockout Bracket'!S27:S30))</f>
        <v>0</v>
      </c>
    </row>
    <row r="14" spans="1:2" x14ac:dyDescent="0.2">
      <c r="A14" s="8" t="s">
        <v>284</v>
      </c>
      <c r="B14" s="11">
        <f>SUMPRODUCT(--('Knockout Bracket'!K31:K32&lt;&gt;""),--('Knockout Bracket'!S31:S32&lt;&gt;""),--('Knockout Bracket'!K31:K32='Knockout Bracket'!S31:S32))</f>
        <v>0</v>
      </c>
    </row>
    <row r="15" spans="1:2" x14ac:dyDescent="0.2">
      <c r="A15" s="8" t="s">
        <v>285</v>
      </c>
      <c r="B15" s="11">
        <f>SUMPRODUCT(--('Knockout Bracket'!K33:K34&lt;&gt;""),--('Knockout Bracket'!S33:S34&lt;&gt;""),--('Knockout Bracket'!K33:K34='Knockout Bracket'!S33:S34))</f>
        <v>0</v>
      </c>
    </row>
    <row r="16" spans="1:2" x14ac:dyDescent="0.2">
      <c r="B16" s="12"/>
    </row>
    <row r="17" spans="1:2" x14ac:dyDescent="0.2">
      <c r="A17" s="8" t="s">
        <v>286</v>
      </c>
      <c r="B17" s="13" t="str">
        <f>'Knockout Bracket'!K34</f>
        <v>Brazil</v>
      </c>
    </row>
    <row r="18" spans="1:2" x14ac:dyDescent="0.2">
      <c r="A18" s="8" t="s">
        <v>287</v>
      </c>
      <c r="B18" s="13" t="str">
        <f>'Knockout Bracket'!S34</f>
        <v/>
      </c>
    </row>
    <row r="19" spans="1:2" x14ac:dyDescent="0.2">
      <c r="B19" s="12"/>
    </row>
    <row r="20" spans="1:2" x14ac:dyDescent="0.2">
      <c r="B20" s="12"/>
    </row>
    <row r="21" spans="1:2" x14ac:dyDescent="0.2">
      <c r="B21" s="12"/>
    </row>
    <row r="22" spans="1:2" x14ac:dyDescent="0.2">
      <c r="B22" s="12"/>
    </row>
    <row r="23" spans="1:2" x14ac:dyDescent="0.2">
      <c r="B23" s="12"/>
    </row>
    <row r="24" spans="1:2" x14ac:dyDescent="0.2">
      <c r="B24" s="12"/>
    </row>
    <row r="25" spans="1:2" x14ac:dyDescent="0.2">
      <c r="B25" s="12"/>
    </row>
    <row r="26" spans="1:2" x14ac:dyDescent="0.2">
      <c r="B26" s="12"/>
    </row>
    <row r="27" spans="1:2" x14ac:dyDescent="0.2">
      <c r="B27" s="12"/>
    </row>
    <row r="28" spans="1:2" x14ac:dyDescent="0.2">
      <c r="B28" s="12"/>
    </row>
    <row r="29" spans="1:2" x14ac:dyDescent="0.2">
      <c r="B29" s="12"/>
    </row>
    <row r="30" spans="1:2" x14ac:dyDescent="0.2">
      <c r="B30" s="12"/>
    </row>
    <row r="31" spans="1:2" x14ac:dyDescent="0.2">
      <c r="B31" s="1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104" customWidth="1"/>
  </cols>
  <sheetData>
    <row r="1" spans="1:2" ht="18" x14ac:dyDescent="0.2">
      <c r="A1" s="9" t="s">
        <v>288</v>
      </c>
    </row>
    <row r="3" spans="1:2" x14ac:dyDescent="0.2">
      <c r="A3" s="4" t="s">
        <v>289</v>
      </c>
    </row>
    <row r="4" spans="1:2" ht="16" x14ac:dyDescent="0.2">
      <c r="A4" t="s">
        <v>290</v>
      </c>
      <c r="B4" s="10" t="s">
        <v>291</v>
      </c>
    </row>
    <row r="5" spans="1:2" ht="16" x14ac:dyDescent="0.2">
      <c r="A5" t="s">
        <v>292</v>
      </c>
      <c r="B5" s="10" t="s">
        <v>293</v>
      </c>
    </row>
    <row r="6" spans="1:2" ht="32" x14ac:dyDescent="0.2">
      <c r="A6" t="s">
        <v>294</v>
      </c>
      <c r="B6" s="10" t="s">
        <v>295</v>
      </c>
    </row>
    <row r="7" spans="1:2" ht="16" x14ac:dyDescent="0.2">
      <c r="A7" t="s">
        <v>296</v>
      </c>
      <c r="B7" s="10" t="s">
        <v>297</v>
      </c>
    </row>
    <row r="8" spans="1:2" ht="16" x14ac:dyDescent="0.2">
      <c r="A8" t="s">
        <v>298</v>
      </c>
      <c r="B8" s="10" t="s">
        <v>299</v>
      </c>
    </row>
    <row r="9" spans="1:2" x14ac:dyDescent="0.2">
      <c r="B9" s="10"/>
    </row>
    <row r="10" spans="1:2" x14ac:dyDescent="0.2">
      <c r="A10" s="4" t="s">
        <v>300</v>
      </c>
      <c r="B10" s="10"/>
    </row>
    <row r="11" spans="1:2" ht="16" x14ac:dyDescent="0.2">
      <c r="A11" t="s">
        <v>301</v>
      </c>
      <c r="B11" s="10" t="s">
        <v>302</v>
      </c>
    </row>
    <row r="12" spans="1:2" ht="32" x14ac:dyDescent="0.2">
      <c r="A12" t="s">
        <v>303</v>
      </c>
      <c r="B12" s="10" t="s">
        <v>304</v>
      </c>
    </row>
    <row r="13" spans="1:2" ht="16" x14ac:dyDescent="0.2">
      <c r="A13" t="s">
        <v>305</v>
      </c>
      <c r="B13" s="10" t="s">
        <v>306</v>
      </c>
    </row>
    <row r="14" spans="1:2" ht="16" x14ac:dyDescent="0.2">
      <c r="A14" t="s">
        <v>307</v>
      </c>
      <c r="B14" s="10" t="s">
        <v>308</v>
      </c>
    </row>
    <row r="15" spans="1:2" ht="16" x14ac:dyDescent="0.2">
      <c r="A15" t="s">
        <v>309</v>
      </c>
      <c r="B15" s="10" t="s">
        <v>310</v>
      </c>
    </row>
    <row r="16" spans="1:2" ht="16" x14ac:dyDescent="0.2">
      <c r="A16" t="s">
        <v>311</v>
      </c>
      <c r="B16" s="10" t="s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Groups</vt:lpstr>
      <vt:lpstr>Group Matches</vt:lpstr>
      <vt:lpstr>ENG_Long</vt:lpstr>
      <vt:lpstr>Standings</vt:lpstr>
      <vt:lpstr>3rd Place + Alloc</vt:lpstr>
      <vt:lpstr>Knockout Bracket</vt:lpstr>
      <vt:lpstr>Dashboard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Henrique Figueiredo Magalhaes</cp:lastModifiedBy>
  <cp:revision>0</cp:revision>
  <dcterms:created xsi:type="dcterms:W3CDTF">2026-05-22T07:49:26Z</dcterms:created>
  <dcterms:modified xsi:type="dcterms:W3CDTF">2026-06-15T07:05:17Z</dcterms:modified>
  <dc:language>en-US</dc:language>
</cp:coreProperties>
</file>